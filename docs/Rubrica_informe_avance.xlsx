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Xb437dveSWU5JsDOY8OpCEuFqRQ=="/>
    </ext>
  </extLst>
</workbook>
</file>

<file path=xl/sharedStrings.xml><?xml version="1.0" encoding="utf-8"?>
<sst xmlns="http://schemas.openxmlformats.org/spreadsheetml/2006/main" count="28" uniqueCount="28">
  <si>
    <t>Grupo XX</t>
  </si>
  <si>
    <t>Excelente</t>
  </si>
  <si>
    <t>Bien </t>
  </si>
  <si>
    <t>Adecuado</t>
  </si>
  <si>
    <t>Deficiente</t>
  </si>
  <si>
    <t>Insuficiente o inexistente</t>
  </si>
  <si>
    <t>Diagrama de bloques de bajo nivel</t>
  </si>
  <si>
    <t>Presenta claramente el diagrama de bloques de bajo nivel: fuentes de energía, conexiones entre bloques, especificaciones y características de los bloques. Descripción de bloques.</t>
  </si>
  <si>
    <t>Los bloques son subdivisiones de bloques de mayor jerarquía, cumplen la funcionalidad correspondiente y tienen especificaciones claras.</t>
  </si>
  <si>
    <t>Las conexiones entre bloques están precisamente definidas</t>
  </si>
  <si>
    <t>Elección de componentes críticas</t>
  </si>
  <si>
    <t>Presenta la elección de componentes relevantes, debidamente descritas incluyendo sus características y especificaciones relevantes</t>
  </si>
  <si>
    <t>La elección de los componentes está debidamente justificada y se han elegido apropiadamente (permiten hacer lo que se requerirá de ellos)</t>
  </si>
  <si>
    <t>Indica el presupuesto, incluyendo el origen de los materiales (compra en el extranjero, compra en Chile, disponibles en el Fab-Lab, etc).</t>
  </si>
  <si>
    <t>Primer borrador de Diseño de Pruebas</t>
  </si>
  <si>
    <t>Presenta un primer borrador de cómo se realizarán las pruebas de los bloques</t>
  </si>
  <si>
    <t>Planificación</t>
  </si>
  <si>
    <t>Se muestra la planificación del trabajo semestral, indicando plazos de compra de materiales, de integración de bloques, construcción de prototipo final</t>
  </si>
  <si>
    <t>Se describe claramente como ha se repartirá el trabajo entre miembros del grupo</t>
  </si>
  <si>
    <t>Implementación y resultados (Evaluar cada bloque descrito, y la nota se promedia automáticamente)</t>
  </si>
  <si>
    <t>Se describen los bloques implementados y otros avances realizados para la entrega, utilizando un lenguaje adecuado para un informe técnico. Debe incluir el trabajo mínimo especificado para este avance</t>
  </si>
  <si>
    <t>La descripción de cada item contiene los aspectos relevantes indicados en el documento "GXX_avanceX", ordenados y presentados coherentemente (incluye anexos en caso de código).</t>
  </si>
  <si>
    <t>Los resultados se muestran usando herramientas cuantitativas y cualitativas adecuadas para un informe técnico (tablas, figuras, mediciones).</t>
  </si>
  <si>
    <t>TOTAL</t>
  </si>
  <si>
    <t>Nota parcial</t>
  </si>
  <si>
    <t>Descuento atraso (días)</t>
  </si>
  <si>
    <t>Descuento formato (número de faltas)</t>
  </si>
  <si>
    <t>NOTA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</si>
</sst>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rgb="FF000000"/>
      <name val="Verdana"/>
      <scheme val="minor"/>
    </font>
    <font>
      <b/>
      <sz val="24.0"/>
      <color rgb="FF000000"/>
      <name val="Helvetica Neue"/>
    </font>
    <font>
      <b/>
      <sz val="10.0"/>
      <color rgb="FF000000"/>
      <name val="Helvetica Neue"/>
    </font>
    <font>
      <sz val="12.0"/>
      <color rgb="FF000000"/>
      <name val="Helvetica Neue"/>
    </font>
    <font>
      <sz val="12.0"/>
      <color rgb="FF000000"/>
      <name val="Calibri"/>
    </font>
    <font/>
    <font>
      <sz val="10.0"/>
      <color rgb="FF000000"/>
      <name val="Helvetica Neue"/>
    </font>
    <font>
      <color theme="1"/>
      <name val="Helvetica Neue"/>
    </font>
    <font>
      <sz val="12.0"/>
      <color theme="1"/>
      <name val="Verdana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top" wrapText="1"/>
    </xf>
    <xf borderId="1" fillId="2" fontId="1" numFmtId="1" xfId="0" applyAlignment="1" applyBorder="1" applyFill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1" fillId="3" fontId="3" numFmtId="1" xfId="0" applyAlignment="1" applyBorder="1" applyFont="1" applyNumberFormat="1">
      <alignment shrinkToFit="0" vertical="top" wrapText="1"/>
    </xf>
    <xf borderId="0" fillId="0" fontId="4" numFmtId="0" xfId="0" applyAlignment="1" applyFont="1">
      <alignment shrinkToFit="0" vertical="top" wrapText="1"/>
    </xf>
    <xf borderId="2" fillId="4" fontId="2" numFmtId="0" xfId="0" applyAlignment="1" applyBorder="1" applyFill="1" applyFont="1">
      <alignment horizontal="left" readingOrder="0" shrinkToFit="0" vertical="top" wrapText="1"/>
    </xf>
    <xf borderId="3" fillId="0" fontId="5" numFmtId="0" xfId="0" applyAlignment="1" applyBorder="1" applyFont="1">
      <alignment shrinkToFit="0" vertical="top" wrapText="1"/>
    </xf>
    <xf borderId="4" fillId="0" fontId="5" numFmtId="0" xfId="0" applyAlignment="1" applyBorder="1" applyFont="1">
      <alignment shrinkToFit="0" vertical="top" wrapText="1"/>
    </xf>
    <xf borderId="1" fillId="4" fontId="2" numFmtId="0" xfId="0" applyAlignment="1" applyBorder="1" applyFont="1">
      <alignment readingOrder="0" shrinkToFit="0" vertical="top" wrapText="1"/>
    </xf>
    <xf borderId="0" fillId="0" fontId="4" numFmtId="9" xfId="0" applyAlignment="1" applyFont="1" applyNumberForma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6" numFmtId="1" xfId="0" applyAlignment="1" applyBorder="1" applyFont="1" applyNumberFormat="1">
      <alignment shrinkToFit="0" vertical="top" wrapText="1"/>
    </xf>
    <xf borderId="1" fillId="5" fontId="6" numFmtId="0" xfId="0" applyAlignment="1" applyBorder="1" applyFill="1" applyFont="1">
      <alignment shrinkToFit="0" vertical="top" wrapText="1"/>
    </xf>
    <xf borderId="1" fillId="0" fontId="7" numFmtId="0" xfId="0" applyAlignment="1" applyBorder="1" applyFont="1">
      <alignment horizontal="right" shrinkToFit="0" vertical="top" wrapText="1"/>
    </xf>
    <xf borderId="4" fillId="0" fontId="8" numFmtId="1" xfId="0" applyAlignment="1" applyBorder="1" applyFont="1" applyNumberFormat="1">
      <alignment shrinkToFit="0" vertical="top" wrapText="1"/>
    </xf>
    <xf borderId="4" fillId="5" fontId="7" numFmtId="0" xfId="0" applyAlignment="1" applyBorder="1" applyFont="1">
      <alignment horizontal="right" shrinkToFit="0" vertical="top" wrapText="1"/>
    </xf>
    <xf borderId="1" fillId="4" fontId="2" numFmtId="0" xfId="0" applyAlignment="1" applyBorder="1" applyFont="1">
      <alignment horizontal="left" shrinkToFit="0" vertical="top" wrapText="1"/>
    </xf>
    <xf borderId="1" fillId="6" fontId="2" numFmtId="0" xfId="0" applyAlignment="1" applyBorder="1" applyFill="1" applyFont="1">
      <alignment horizontal="left" readingOrder="0" shrinkToFit="0" vertical="top" wrapText="1"/>
    </xf>
    <xf borderId="1" fillId="6" fontId="2" numFmtId="0" xfId="0" applyAlignment="1" applyBorder="1" applyFont="1">
      <alignment horizontal="left" shrinkToFit="0" vertical="top" wrapText="1"/>
    </xf>
    <xf borderId="0" fillId="6" fontId="4" numFmtId="0" xfId="0" applyAlignment="1" applyFont="1">
      <alignment shrinkToFit="0" vertical="top" wrapText="1"/>
    </xf>
    <xf borderId="2" fillId="4" fontId="2" numFmtId="0" xfId="0" applyAlignment="1" applyBorder="1" applyFont="1">
      <alignment horizontal="left" shrinkToFit="0" vertical="top" wrapText="1"/>
    </xf>
    <xf borderId="0" fillId="6" fontId="4" numFmtId="9" xfId="0" applyAlignment="1" applyFont="1" applyNumberFormat="1">
      <alignment readingOrder="0" shrinkToFit="0" vertical="top" wrapText="1"/>
    </xf>
    <xf borderId="1" fillId="4" fontId="2" numFmtId="1" xfId="0" applyAlignment="1" applyBorder="1" applyFont="1" applyNumberFormat="1">
      <alignment readingOrder="0" shrinkToFit="0" vertical="top" wrapText="1"/>
    </xf>
    <xf borderId="5" fillId="0" fontId="2" numFmtId="0" xfId="0" applyAlignment="1" applyBorder="1" applyFont="1">
      <alignment horizontal="left" shrinkToFit="0" vertical="top" wrapText="1"/>
    </xf>
    <xf borderId="6" fillId="0" fontId="2" numFmtId="1" xfId="0" applyAlignment="1" applyBorder="1" applyFont="1" applyNumberFormat="1">
      <alignment horizontal="left" shrinkToFit="0" vertical="top" wrapText="1"/>
    </xf>
    <xf borderId="7" fillId="0" fontId="2" numFmtId="1" xfId="0" applyAlignment="1" applyBorder="1" applyFont="1" applyNumberFormat="1">
      <alignment horizontal="left" shrinkToFit="0" vertical="top" wrapText="1"/>
    </xf>
    <xf borderId="1" fillId="5" fontId="6" numFmtId="1" xfId="0" applyAlignment="1" applyBorder="1" applyFont="1" applyNumberFormat="1">
      <alignment shrinkToFit="0" vertical="top" wrapText="1"/>
    </xf>
    <xf borderId="2" fillId="0" fontId="6" numFmtId="1" xfId="0" applyAlignment="1" applyBorder="1" applyFont="1" applyNumberFormat="1">
      <alignment horizontal="center" shrinkToFit="0" vertical="top" wrapText="1"/>
    </xf>
    <xf borderId="2" fillId="0" fontId="9" numFmtId="0" xfId="0" applyAlignment="1" applyBorder="1" applyFont="1">
      <alignment horizontal="left" shrinkToFit="0" vertical="top" wrapText="0"/>
    </xf>
    <xf borderId="1" fillId="5" fontId="4" numFmtId="0" xfId="0" applyAlignment="1" applyBorder="1" applyFont="1">
      <alignment shrinkToFit="0" vertical="top" wrapText="1"/>
    </xf>
    <xf borderId="2" fillId="0" fontId="4" numFmtId="1" xfId="0" applyAlignment="1" applyBorder="1" applyFont="1" applyNumberFormat="1">
      <alignment horizontal="center" shrinkToFit="0" vertical="top" wrapText="0"/>
    </xf>
    <xf borderId="2" fillId="0" fontId="2" numFmtId="0" xfId="0" applyAlignment="1" applyBorder="1" applyFont="1">
      <alignment horizontal="left" shrinkToFit="0" vertical="top" wrapText="1"/>
    </xf>
    <xf borderId="2" fillId="2" fontId="9" numFmtId="0" xfId="0" applyAlignment="1" applyBorder="1" applyFont="1">
      <alignment horizontal="left" shrinkToFit="0" vertical="top" wrapText="0"/>
    </xf>
    <xf borderId="1" fillId="2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9.18" defaultRowHeight="15.0"/>
  <cols>
    <col customWidth="1" min="1" max="1" width="39.0"/>
    <col customWidth="1" min="2" max="5" width="8.45"/>
    <col customWidth="1" min="6" max="6" width="9.09"/>
    <col customWidth="1" min="7" max="8" width="9.45"/>
    <col customWidth="1" min="9" max="9" width="36.45"/>
    <col customWidth="1" min="10" max="26" width="9.45"/>
  </cols>
  <sheetData>
    <row r="1" ht="4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6</v>
      </c>
      <c r="B2" s="6"/>
      <c r="C2" s="6"/>
      <c r="D2" s="6"/>
      <c r="E2" s="6"/>
      <c r="F2" s="7"/>
      <c r="G2" s="8">
        <f>sum(G3:G5)</f>
        <v>30</v>
      </c>
      <c r="H2" s="9">
        <v>0.3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9.0" customHeight="1">
      <c r="A3" s="10" t="s">
        <v>7</v>
      </c>
      <c r="B3" s="11">
        <v>1.0</v>
      </c>
      <c r="C3" s="12"/>
      <c r="D3" s="12"/>
      <c r="E3" s="12"/>
      <c r="F3" s="12"/>
      <c r="G3" s="13">
        <f t="shared" ref="G3:G5" si="1">(4*B3+3*C3+2*D3+1*E3)*10/4</f>
        <v>10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7.5" customHeight="1">
      <c r="A4" s="10" t="s">
        <v>8</v>
      </c>
      <c r="B4" s="11">
        <v>1.0</v>
      </c>
      <c r="C4" s="12"/>
      <c r="D4" s="12"/>
      <c r="E4" s="12"/>
      <c r="F4" s="12"/>
      <c r="G4" s="13">
        <f t="shared" si="1"/>
        <v>10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8.5" customHeight="1">
      <c r="A5" s="10" t="s">
        <v>9</v>
      </c>
      <c r="B5" s="14">
        <v>1.0</v>
      </c>
      <c r="C5" s="15"/>
      <c r="D5" s="15"/>
      <c r="E5" s="15"/>
      <c r="F5" s="15"/>
      <c r="G5" s="16">
        <f t="shared" si="1"/>
        <v>10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8.5" customHeight="1">
      <c r="A6" s="5" t="s">
        <v>10</v>
      </c>
      <c r="B6" s="6"/>
      <c r="C6" s="6"/>
      <c r="D6" s="6"/>
      <c r="E6" s="6"/>
      <c r="F6" s="7"/>
      <c r="G6" s="8">
        <f>sum(G7:G9)</f>
        <v>30</v>
      </c>
      <c r="H6" s="9">
        <v>0.3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9.0" customHeight="1">
      <c r="A7" s="10" t="s">
        <v>11</v>
      </c>
      <c r="B7" s="11">
        <v>1.0</v>
      </c>
      <c r="C7" s="12"/>
      <c r="D7" s="12"/>
      <c r="E7" s="12"/>
      <c r="F7" s="12"/>
      <c r="G7" s="13">
        <f t="shared" ref="G7:G8" si="2">(4*B7+3*C7+2*D7+1*E7)*12/4</f>
        <v>12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0" t="s">
        <v>12</v>
      </c>
      <c r="B8" s="11">
        <v>1.0</v>
      </c>
      <c r="C8" s="12"/>
      <c r="D8" s="12"/>
      <c r="E8" s="12"/>
      <c r="F8" s="12"/>
      <c r="G8" s="13">
        <f t="shared" si="2"/>
        <v>12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10" t="s">
        <v>13</v>
      </c>
      <c r="B9" s="11">
        <v>1.0</v>
      </c>
      <c r="C9" s="12"/>
      <c r="D9" s="12"/>
      <c r="E9" s="12"/>
      <c r="F9" s="12"/>
      <c r="G9" s="13">
        <f>(4*B9+3*C9+2*D9+1*E9)*6/4</f>
        <v>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75" customHeight="1">
      <c r="A10" s="17" t="s">
        <v>14</v>
      </c>
      <c r="B10" s="17"/>
      <c r="C10" s="17"/>
      <c r="D10" s="17"/>
      <c r="E10" s="17"/>
      <c r="F10" s="17"/>
      <c r="G10" s="8">
        <f>G11</f>
        <v>5</v>
      </c>
      <c r="H10" s="9">
        <v>0.05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7.75" customHeight="1">
      <c r="A11" s="11" t="s">
        <v>15</v>
      </c>
      <c r="B11" s="18">
        <v>1.0</v>
      </c>
      <c r="C11" s="19"/>
      <c r="D11" s="19"/>
      <c r="E11" s="19"/>
      <c r="F11" s="19"/>
      <c r="G11" s="13">
        <f>(4*B11+3*C11+2*D11+1*E11)*5/4</f>
        <v>5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7.75" customHeight="1">
      <c r="A12" s="21" t="s">
        <v>16</v>
      </c>
      <c r="B12" s="6"/>
      <c r="C12" s="6"/>
      <c r="D12" s="6"/>
      <c r="E12" s="6"/>
      <c r="F12" s="7"/>
      <c r="G12" s="8">
        <f>sum(G13:G14)</f>
        <v>10</v>
      </c>
      <c r="H12" s="22">
        <v>0.1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2.0" customHeight="1">
      <c r="A13" s="11" t="s">
        <v>17</v>
      </c>
      <c r="B13" s="11">
        <v>1.0</v>
      </c>
      <c r="C13" s="12"/>
      <c r="D13" s="12"/>
      <c r="E13" s="12"/>
      <c r="F13" s="12"/>
      <c r="G13" s="13">
        <f t="shared" ref="G13:G14" si="3">(4*B13+3*C13+2*D13+1*E13)*5/4</f>
        <v>5</v>
      </c>
      <c r="H13" s="20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11" t="s">
        <v>18</v>
      </c>
      <c r="B14" s="11">
        <v>1.0</v>
      </c>
      <c r="C14" s="12"/>
      <c r="D14" s="12"/>
      <c r="E14" s="12"/>
      <c r="F14" s="12"/>
      <c r="G14" s="13">
        <f t="shared" si="3"/>
        <v>5</v>
      </c>
      <c r="H14" s="20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.75" customHeight="1">
      <c r="A15" s="21" t="s">
        <v>19</v>
      </c>
      <c r="B15" s="6"/>
      <c r="C15" s="6"/>
      <c r="D15" s="6"/>
      <c r="E15" s="6"/>
      <c r="F15" s="7"/>
      <c r="G15" s="23">
        <f>sum(G16:G18)</f>
        <v>25</v>
      </c>
      <c r="H15" s="22">
        <v>0.25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0.5" customHeight="1">
      <c r="A16" s="10" t="s">
        <v>20</v>
      </c>
      <c r="B16" s="11">
        <v>1.0</v>
      </c>
      <c r="C16" s="12"/>
      <c r="D16" s="12"/>
      <c r="E16" s="12"/>
      <c r="F16" s="12"/>
      <c r="G16" s="13">
        <f>(4*B16+3*C16+2*D16+1*E16)*10/4</f>
        <v>10</v>
      </c>
      <c r="H16" s="20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4.0" customHeight="1">
      <c r="A17" s="11" t="s">
        <v>21</v>
      </c>
      <c r="B17" s="11">
        <v>1.0</v>
      </c>
      <c r="C17" s="12"/>
      <c r="D17" s="12"/>
      <c r="E17" s="12"/>
      <c r="F17" s="12"/>
      <c r="G17" s="13">
        <f>(4*B17+3*C17+2*D17+1*E17)*5/4</f>
        <v>5</v>
      </c>
      <c r="H17" s="20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1.25" customHeight="1">
      <c r="A18" s="11" t="s">
        <v>22</v>
      </c>
      <c r="B18" s="11">
        <v>1.0</v>
      </c>
      <c r="C18" s="12"/>
      <c r="D18" s="12"/>
      <c r="E18" s="12"/>
      <c r="F18" s="12"/>
      <c r="G18" s="13">
        <f>(4*B18+3*C18+2*D18+1*E18)*10/4</f>
        <v>10</v>
      </c>
      <c r="H18" s="20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7.75" customHeight="1">
      <c r="A19" s="24" t="s">
        <v>23</v>
      </c>
      <c r="B19" s="25"/>
      <c r="C19" s="25"/>
      <c r="D19" s="25"/>
      <c r="E19" s="25"/>
      <c r="F19" s="26"/>
      <c r="G19" s="27">
        <f>SUM(G2,G6,G10,G12,G15)</f>
        <v>100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7.75" customHeight="1">
      <c r="A20" s="28"/>
      <c r="B20" s="6"/>
      <c r="C20" s="6"/>
      <c r="D20" s="6"/>
      <c r="E20" s="6"/>
      <c r="F20" s="6"/>
      <c r="G20" s="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7.75" customHeight="1">
      <c r="A21" s="29" t="s">
        <v>24</v>
      </c>
      <c r="B21" s="6"/>
      <c r="C21" s="6"/>
      <c r="D21" s="6"/>
      <c r="E21" s="6"/>
      <c r="F21" s="7"/>
      <c r="G21" s="30">
        <f>ROUND(G19/100*6+1,1)</f>
        <v>7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7.75" customHeight="1">
      <c r="A22" s="31"/>
      <c r="B22" s="6"/>
      <c r="C22" s="6"/>
      <c r="D22" s="6"/>
      <c r="E22" s="6"/>
      <c r="F22" s="6"/>
      <c r="G22" s="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7.75" customHeight="1">
      <c r="A23" s="32" t="s">
        <v>25</v>
      </c>
      <c r="B23" s="6"/>
      <c r="C23" s="6"/>
      <c r="D23" s="6"/>
      <c r="E23" s="6"/>
      <c r="F23" s="7"/>
      <c r="G23" s="30">
        <v>0.0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7.75" customHeight="1">
      <c r="A24" s="32" t="s">
        <v>26</v>
      </c>
      <c r="B24" s="6"/>
      <c r="C24" s="6"/>
      <c r="D24" s="6"/>
      <c r="E24" s="6"/>
      <c r="F24" s="7"/>
      <c r="G24" s="30">
        <v>0.0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7.75" customHeight="1">
      <c r="A25" s="31"/>
      <c r="B25" s="6"/>
      <c r="C25" s="6"/>
      <c r="D25" s="6"/>
      <c r="E25" s="6"/>
      <c r="F25" s="6"/>
      <c r="G25" s="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7.75" customHeight="1">
      <c r="A26" s="33" t="s">
        <v>27</v>
      </c>
      <c r="B26" s="6"/>
      <c r="C26" s="6"/>
      <c r="D26" s="6"/>
      <c r="E26" s="6"/>
      <c r="F26" s="7"/>
      <c r="G26" s="34">
        <f>G21-0.5*G23-0.5*G24</f>
        <v>7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1">
    <mergeCell ref="A23:F23"/>
    <mergeCell ref="A24:F24"/>
    <mergeCell ref="A25:G25"/>
    <mergeCell ref="A26:F26"/>
    <mergeCell ref="A2:F2"/>
    <mergeCell ref="A6:F6"/>
    <mergeCell ref="A12:F12"/>
    <mergeCell ref="A15:F15"/>
    <mergeCell ref="A20:G20"/>
    <mergeCell ref="A21:F21"/>
    <mergeCell ref="A22:G2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