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iTX3uaKX4r+MU0DWINRTv8pa3tqw=="/>
    </ext>
  </extLst>
</workbook>
</file>

<file path=xl/sharedStrings.xml><?xml version="1.0" encoding="utf-8"?>
<sst xmlns="http://schemas.openxmlformats.org/spreadsheetml/2006/main" count="32" uniqueCount="32">
  <si>
    <t>Grupo XX</t>
  </si>
  <si>
    <t>Excelente</t>
  </si>
  <si>
    <t>Bien </t>
  </si>
  <si>
    <t>Adecuado</t>
  </si>
  <si>
    <t>Deficiente</t>
  </si>
  <si>
    <t>Insuficiente o inexistente</t>
  </si>
  <si>
    <t>Diagrama de bloques de bajo nivel</t>
  </si>
  <si>
    <t>Presenta el diagrama de bloques de bajo nivel actualizado, que describe completamente el proyecto en su estado actual (indica cuales bloques están funcionando, en qué porcentaje, cuales el placa).</t>
  </si>
  <si>
    <t>Los elementos y componentes del diagrama tienen especificaciones claras y completas, con interconexiones precisamente definidas</t>
  </si>
  <si>
    <t>Los cambios en el diagrama o diseño están debidamente justificados</t>
  </si>
  <si>
    <t>Planificación</t>
  </si>
  <si>
    <t>Se muestra la planificación del trabajo semestral, indicando estado actual del proyecto y justificando cambios respecto a planificación original.</t>
  </si>
  <si>
    <t>Se describe claramente como ha sido repartido el trabajo entre miembros del grupo</t>
  </si>
  <si>
    <t>Análisis de impacto de las soluciones y estándares</t>
  </si>
  <si>
    <t>Discusión de las aplicaciones posibles del dispositivo, o las soluciones adoptadas, a  problemas de la sociedad y el impacto que puedan tener, socioeconómicos, ambientales y en salud pública, cuando corresponda. Analizar posibles aspectos éticos.</t>
  </si>
  <si>
    <t xml:space="preserve">Análisis de aspectos de riesgo eléctrico presentes en el punto 3 del estándar ECMA-287. </t>
  </si>
  <si>
    <t>Realiza una revisión de al menos 2 estándares relacionados con el área del proyecto (ej.: comunicaciones, conectores, etc.) y enuncia correctamente las especificaciones necesarias para cumplir con ellos.</t>
  </si>
  <si>
    <t>Modelos y simulaciones (NOTA: depende del proyecto. Hablar con ayudante)</t>
  </si>
  <si>
    <t>Presenta los modelos/curvas de desempeño necesarios para entender el problema y solución escogidos</t>
  </si>
  <si>
    <t>Realiza las simulaciones necesarias o análisis de las curvas de desempeño para validar las soluciones propuestas</t>
  </si>
  <si>
    <t>Los análisis son razonables y se usan adecuadamente para tomar decisiones de diseño</t>
  </si>
  <si>
    <t>Diseño de set-up final</t>
  </si>
  <si>
    <t>Muestra cómo será el set-up que permitirá demostrar el cunmplimiento de requerimientos y especificaciones del modelo final</t>
  </si>
  <si>
    <t>Implementación y resultados (Evaluar cada bloque descrito, y la nota se promedia automáticamente)</t>
  </si>
  <si>
    <t>Se describen los bloques implementados y otros avances realizados para la entrega, utilizando un lenguaje adecuado para un informe técnico.</t>
  </si>
  <si>
    <t>La descripción de cada item contiene los aspectos relevantes indicados en el documento "GXX_avanceX", ordenados y presentados coherentemente (incluye anexos en caso de código).</t>
  </si>
  <si>
    <t>Los resultados se muestran usando herramientas cuantitativas y cualitativas adecuadas para un informe técnico (tablas, figuras, mediciones).</t>
  </si>
  <si>
    <t>TOTAL</t>
  </si>
  <si>
    <t>Nota parcial</t>
  </si>
  <si>
    <t>Descuento atraso (días)</t>
  </si>
  <si>
    <t>Descuento formato (número de faltas)</t>
  </si>
  <si>
    <t>NOTA FINAL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</si>
</sst>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2">
    <font>
      <sz val="12.0"/>
      <color rgb="FF000000"/>
      <name val="Verdana"/>
      <scheme val="minor"/>
    </font>
    <font>
      <b/>
      <sz val="24.0"/>
      <color rgb="FF000000"/>
      <name val="Helvetica Neue"/>
    </font>
    <font>
      <b/>
      <sz val="10.0"/>
      <color rgb="FF000000"/>
      <name val="Helvetica Neue"/>
    </font>
    <font>
      <sz val="12.0"/>
      <color rgb="FF000000"/>
      <name val="Helvetica Neue"/>
    </font>
    <font>
      <sz val="12.0"/>
      <color rgb="FF000000"/>
      <name val="Calibri"/>
    </font>
    <font/>
    <font>
      <sz val="10.0"/>
      <color rgb="FF000000"/>
      <name val="Helvetica Neue"/>
    </font>
    <font>
      <b/>
      <color theme="1"/>
      <name val="&quot;Helvetica Neue&quot;"/>
    </font>
    <font>
      <sz val="12.0"/>
      <color theme="1"/>
      <name val="Calibri"/>
    </font>
    <font>
      <sz val="12.0"/>
      <color theme="1"/>
      <name val="Verdana"/>
    </font>
    <font>
      <b/>
      <sz val="12.0"/>
      <color rgb="FF000000"/>
      <name val="Calibri"/>
    </font>
    <font>
      <color theme="1"/>
      <name val="Verdana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AAAAAA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top" wrapText="1"/>
    </xf>
    <xf borderId="1" fillId="2" fontId="1" numFmtId="1" xfId="0" applyAlignment="1" applyBorder="1" applyFill="1" applyFont="1" applyNumberFormat="1">
      <alignment horizontal="center" shrinkToFit="0" vertical="center" wrapText="1"/>
    </xf>
    <xf borderId="1" fillId="3" fontId="2" numFmtId="0" xfId="0" applyAlignment="1" applyBorder="1" applyFill="1" applyFont="1">
      <alignment shrinkToFit="0" vertical="top" wrapText="1"/>
    </xf>
    <xf borderId="1" fillId="3" fontId="3" numFmtId="1" xfId="0" applyAlignment="1" applyBorder="1" applyFont="1" applyNumberFormat="1">
      <alignment shrinkToFit="0" vertical="top" wrapText="1"/>
    </xf>
    <xf borderId="0" fillId="4" fontId="4" numFmtId="0" xfId="0" applyAlignment="1" applyFill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2" fillId="5" fontId="2" numFmtId="0" xfId="0" applyAlignment="1" applyBorder="1" applyFill="1" applyFont="1">
      <alignment horizontal="left" shrinkToFit="0" vertical="top" wrapText="1"/>
    </xf>
    <xf borderId="3" fillId="0" fontId="5" numFmtId="0" xfId="0" applyAlignment="1" applyBorder="1" applyFont="1">
      <alignment shrinkToFit="0" vertical="top" wrapText="1"/>
    </xf>
    <xf borderId="4" fillId="0" fontId="5" numFmtId="0" xfId="0" applyAlignment="1" applyBorder="1" applyFont="1">
      <alignment shrinkToFit="0" vertical="top" wrapText="1"/>
    </xf>
    <xf borderId="1" fillId="5" fontId="2" numFmtId="0" xfId="0" applyAlignment="1" applyBorder="1" applyFont="1">
      <alignment shrinkToFit="0" vertical="top" wrapText="1"/>
    </xf>
    <xf borderId="0" fillId="4" fontId="4" numFmtId="9" xfId="0" applyAlignment="1" applyFont="1" applyNumberFormat="1">
      <alignment readingOrder="0" shrinkToFit="0" vertical="top" wrapText="1"/>
    </xf>
    <xf borderId="1" fillId="0" fontId="6" numFmtId="0" xfId="0" applyAlignment="1" applyBorder="1" applyFont="1">
      <alignment shrinkToFit="0" vertical="top" wrapText="1"/>
    </xf>
    <xf borderId="1" fillId="0" fontId="6" numFmtId="1" xfId="0" applyAlignment="1" applyBorder="1" applyFont="1" applyNumberFormat="1">
      <alignment shrinkToFit="0" vertical="top" wrapText="1"/>
    </xf>
    <xf borderId="1" fillId="6" fontId="6" numFmtId="0" xfId="0" applyAlignment="1" applyBorder="1" applyFill="1" applyFont="1">
      <alignment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" fillId="0" fontId="6" numFmtId="1" xfId="0" applyAlignment="1" applyBorder="1" applyFont="1" applyNumberFormat="1">
      <alignment readingOrder="0" shrinkToFit="0" vertical="top" wrapText="1"/>
    </xf>
    <xf borderId="0" fillId="5" fontId="7" numFmtId="1" xfId="0" applyAlignment="1" applyFont="1" applyNumberFormat="1">
      <alignment horizontal="right" shrinkToFit="0" vertical="top" wrapText="1"/>
    </xf>
    <xf borderId="0" fillId="4" fontId="8" numFmtId="9" xfId="0" applyAlignment="1" applyFont="1" applyNumberFormat="1">
      <alignment horizontal="right" readingOrder="0" shrinkToFit="0" vertical="top" wrapText="1"/>
    </xf>
    <xf borderId="0" fillId="0" fontId="9" numFmtId="1" xfId="0" applyAlignment="1" applyFont="1" applyNumberFormat="1">
      <alignment shrinkToFit="0" vertical="top" wrapText="1"/>
    </xf>
    <xf borderId="0" fillId="0" fontId="9" numFmtId="0" xfId="0" applyAlignment="1" applyFont="1">
      <alignment shrinkToFit="0" vertical="top" wrapText="1"/>
    </xf>
    <xf borderId="1" fillId="6" fontId="6" numFmtId="1" xfId="0" applyAlignment="1" applyBorder="1" applyFont="1" applyNumberFormat="1">
      <alignment shrinkToFit="0" vertical="top" wrapText="1"/>
    </xf>
    <xf borderId="0" fillId="4" fontId="9" numFmtId="164" xfId="0" applyAlignment="1" applyFont="1" applyNumberFormat="1">
      <alignment shrinkToFit="0" vertical="top" wrapText="1"/>
    </xf>
    <xf borderId="2" fillId="5" fontId="2" numFmtId="0" xfId="0" applyAlignment="1" applyBorder="1" applyFont="1">
      <alignment horizontal="left" readingOrder="0" shrinkToFit="0" vertical="top" wrapText="1"/>
    </xf>
    <xf borderId="1" fillId="5" fontId="2" numFmtId="1" xfId="0" applyAlignment="1" applyBorder="1" applyFont="1" applyNumberFormat="1">
      <alignment shrinkToFit="0" vertical="top" wrapText="1"/>
    </xf>
    <xf borderId="5" fillId="0" fontId="2" numFmtId="0" xfId="0" applyAlignment="1" applyBorder="1" applyFont="1">
      <alignment horizontal="left" shrinkToFit="0" vertical="top" wrapText="1"/>
    </xf>
    <xf borderId="6" fillId="0" fontId="2" numFmtId="1" xfId="0" applyAlignment="1" applyBorder="1" applyFont="1" applyNumberFormat="1">
      <alignment horizontal="left" shrinkToFit="0" vertical="top" wrapText="1"/>
    </xf>
    <xf borderId="7" fillId="0" fontId="2" numFmtId="1" xfId="0" applyAlignment="1" applyBorder="1" applyFont="1" applyNumberFormat="1">
      <alignment horizontal="left" shrinkToFit="0" vertical="top" wrapText="1"/>
    </xf>
    <xf borderId="2" fillId="0" fontId="6" numFmtId="1" xfId="0" applyAlignment="1" applyBorder="1" applyFont="1" applyNumberFormat="1">
      <alignment horizontal="center" shrinkToFit="0" vertical="top" wrapText="1"/>
    </xf>
    <xf borderId="2" fillId="0" fontId="10" numFmtId="0" xfId="0" applyAlignment="1" applyBorder="1" applyFont="1">
      <alignment horizontal="left" shrinkToFit="0" vertical="top" wrapText="0"/>
    </xf>
    <xf borderId="1" fillId="6" fontId="4" numFmtId="0" xfId="0" applyAlignment="1" applyBorder="1" applyFont="1">
      <alignment shrinkToFit="0" vertical="top" wrapText="1"/>
    </xf>
    <xf borderId="2" fillId="0" fontId="4" numFmtId="1" xfId="0" applyAlignment="1" applyBorder="1" applyFont="1" applyNumberFormat="1">
      <alignment horizontal="center" shrinkToFit="0" vertical="top" wrapText="0"/>
    </xf>
    <xf borderId="2" fillId="0" fontId="2" numFmtId="0" xfId="0" applyAlignment="1" applyBorder="1" applyFont="1">
      <alignment horizontal="left" shrinkToFit="0" vertical="top" wrapText="1"/>
    </xf>
    <xf borderId="2" fillId="2" fontId="10" numFmtId="0" xfId="0" applyAlignment="1" applyBorder="1" applyFont="1">
      <alignment horizontal="left" shrinkToFit="0" vertical="top" wrapText="0"/>
    </xf>
    <xf borderId="1" fillId="2" fontId="4" numFmtId="0" xfId="0" applyAlignment="1" applyBorder="1" applyFont="1">
      <alignment shrinkToFit="0" vertical="top" wrapText="1"/>
    </xf>
    <xf borderId="0" fillId="4" fontId="11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9.18" defaultRowHeight="15.0"/>
  <cols>
    <col customWidth="1" min="1" max="1" width="39.0"/>
    <col customWidth="1" min="2" max="5" width="8.45"/>
    <col customWidth="1" min="6" max="6" width="9.09"/>
    <col customWidth="1" min="7" max="26" width="9.45"/>
  </cols>
  <sheetData>
    <row r="1" ht="4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7.75" customHeight="1">
      <c r="A2" s="6" t="s">
        <v>6</v>
      </c>
      <c r="B2" s="7"/>
      <c r="C2" s="7"/>
      <c r="D2" s="7"/>
      <c r="E2" s="7"/>
      <c r="F2" s="8"/>
      <c r="G2" s="9">
        <f>SUM(G3:G5)</f>
        <v>10</v>
      </c>
      <c r="H2" s="10">
        <v>0.1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39.0" customHeight="1">
      <c r="A3" s="11" t="s">
        <v>7</v>
      </c>
      <c r="B3" s="11">
        <v>1.0</v>
      </c>
      <c r="C3" s="12"/>
      <c r="D3" s="12"/>
      <c r="E3" s="12"/>
      <c r="F3" s="12"/>
      <c r="G3" s="13">
        <f t="shared" ref="G3:G4" si="1">(4*B3+3*C3+2*D3+1*E3)*3/4</f>
        <v>3</v>
      </c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30.0" customHeight="1">
      <c r="A4" s="11" t="s">
        <v>8</v>
      </c>
      <c r="B4" s="11">
        <v>1.0</v>
      </c>
      <c r="C4" s="12"/>
      <c r="D4" s="12"/>
      <c r="E4" s="12"/>
      <c r="F4" s="12"/>
      <c r="G4" s="13">
        <f t="shared" si="1"/>
        <v>3</v>
      </c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27.75" customHeight="1">
      <c r="A5" s="11" t="s">
        <v>9</v>
      </c>
      <c r="B5" s="14">
        <v>1.0</v>
      </c>
      <c r="C5" s="15"/>
      <c r="D5" s="12"/>
      <c r="E5" s="12"/>
      <c r="F5" s="12"/>
      <c r="G5" s="13">
        <f>4*B5+3*C5+2*D5+1*E5</f>
        <v>4</v>
      </c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27.75" customHeight="1">
      <c r="A6" s="6" t="s">
        <v>10</v>
      </c>
      <c r="B6" s="7"/>
      <c r="C6" s="7"/>
      <c r="D6" s="7"/>
      <c r="E6" s="7"/>
      <c r="F6" s="8"/>
      <c r="G6" s="9">
        <f>SUM(G7,G8)</f>
        <v>10</v>
      </c>
      <c r="H6" s="10">
        <v>0.1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42.0" customHeight="1">
      <c r="A7" s="11" t="s">
        <v>11</v>
      </c>
      <c r="B7" s="11">
        <v>1.0</v>
      </c>
      <c r="C7" s="12"/>
      <c r="D7" s="12"/>
      <c r="E7" s="12"/>
      <c r="F7" s="12"/>
      <c r="G7" s="13">
        <f t="shared" ref="G7:G8" si="2">(4*B7+3*C7+2*D7+1*E7) * 5 / 4</f>
        <v>5</v>
      </c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26.25" customHeight="1">
      <c r="A8" s="11" t="s">
        <v>12</v>
      </c>
      <c r="B8" s="11">
        <v>1.0</v>
      </c>
      <c r="C8" s="12"/>
      <c r="D8" s="12"/>
      <c r="E8" s="12"/>
      <c r="F8" s="12"/>
      <c r="G8" s="13">
        <f t="shared" si="2"/>
        <v>5</v>
      </c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27.75" customHeight="1">
      <c r="A9" s="6" t="s">
        <v>13</v>
      </c>
      <c r="B9" s="7"/>
      <c r="C9" s="7"/>
      <c r="D9" s="7"/>
      <c r="E9" s="7"/>
      <c r="F9" s="8"/>
      <c r="G9" s="16">
        <f>sum(G10:G12)</f>
        <v>25</v>
      </c>
      <c r="H9" s="17">
        <v>0.25</v>
      </c>
      <c r="I9" s="18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49.5" customHeight="1">
      <c r="A10" s="14" t="s">
        <v>14</v>
      </c>
      <c r="B10" s="11">
        <v>1.0</v>
      </c>
      <c r="C10" s="12"/>
      <c r="D10" s="12"/>
      <c r="E10" s="12"/>
      <c r="F10" s="12"/>
      <c r="G10" s="20">
        <f t="shared" ref="G10:G11" si="3">(4*B10+3*C10+2*D10+1*E10+0*F10) * 9 / 4</f>
        <v>9</v>
      </c>
      <c r="H10" s="21"/>
      <c r="I10" s="18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30.75" customHeight="1">
      <c r="A11" s="14" t="s">
        <v>15</v>
      </c>
      <c r="B11" s="14">
        <v>1.0</v>
      </c>
      <c r="C11" s="12"/>
      <c r="D11" s="12"/>
      <c r="E11" s="12"/>
      <c r="F11" s="12"/>
      <c r="G11" s="20">
        <f t="shared" si="3"/>
        <v>9</v>
      </c>
      <c r="H11" s="21"/>
      <c r="I11" s="18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42.0" customHeight="1">
      <c r="A12" s="14" t="s">
        <v>16</v>
      </c>
      <c r="B12" s="11">
        <v>1.0</v>
      </c>
      <c r="C12" s="12"/>
      <c r="D12" s="12"/>
      <c r="E12" s="12"/>
      <c r="F12" s="12"/>
      <c r="G12" s="20">
        <f>(4*B12+3*C12+2*D12+1*E12+0*F12) * 7 / 4</f>
        <v>7</v>
      </c>
      <c r="H12" s="21"/>
      <c r="I12" s="18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27.75" customHeight="1">
      <c r="A13" s="22" t="s">
        <v>17</v>
      </c>
      <c r="B13" s="7"/>
      <c r="C13" s="7"/>
      <c r="D13" s="7"/>
      <c r="E13" s="7"/>
      <c r="F13" s="8"/>
      <c r="G13" s="16">
        <f> sum(G14:G16)</f>
        <v>20</v>
      </c>
      <c r="H13" s="10">
        <v>0.2</v>
      </c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27.75" customHeight="1">
      <c r="A14" s="14" t="s">
        <v>18</v>
      </c>
      <c r="B14" s="11">
        <v>1.0</v>
      </c>
      <c r="C14" s="12"/>
      <c r="D14" s="12"/>
      <c r="E14" s="12"/>
      <c r="F14" s="12"/>
      <c r="G14" s="20">
        <f t="shared" ref="G14:G15" si="4">(4*B14+3*C14+2*D14+1*E14+0*F14) * 7 / 4</f>
        <v>7</v>
      </c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27.75" customHeight="1">
      <c r="A15" s="14" t="s">
        <v>19</v>
      </c>
      <c r="B15" s="14">
        <v>1.0</v>
      </c>
      <c r="C15" s="12"/>
      <c r="D15" s="12"/>
      <c r="E15" s="12"/>
      <c r="F15" s="12"/>
      <c r="G15" s="20">
        <f t="shared" si="4"/>
        <v>7</v>
      </c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27.75" customHeight="1">
      <c r="A16" s="14" t="s">
        <v>20</v>
      </c>
      <c r="B16" s="14">
        <v>1.0</v>
      </c>
      <c r="C16" s="12"/>
      <c r="D16" s="12"/>
      <c r="E16" s="12"/>
      <c r="F16" s="12"/>
      <c r="G16" s="20">
        <f>(4*B16+3*C16+2*D16+1*E16+0*F16) * 6 / 4</f>
        <v>6</v>
      </c>
      <c r="H16" s="4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27.75" customHeight="1">
      <c r="A17" s="22" t="s">
        <v>21</v>
      </c>
      <c r="B17" s="7"/>
      <c r="C17" s="7"/>
      <c r="D17" s="7"/>
      <c r="E17" s="7"/>
      <c r="F17" s="8"/>
      <c r="G17" s="16">
        <f>G18</f>
        <v>5</v>
      </c>
      <c r="H17" s="10">
        <v>0.05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27.75" customHeight="1">
      <c r="A18" s="14" t="s">
        <v>22</v>
      </c>
      <c r="B18" s="11">
        <v>1.0</v>
      </c>
      <c r="C18" s="12"/>
      <c r="D18" s="12"/>
      <c r="E18" s="12"/>
      <c r="F18" s="12"/>
      <c r="G18" s="20">
        <f>(4*B18+3*C18+2*D18+1*E18+0*F18)*5/4</f>
        <v>5</v>
      </c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27.75" customHeight="1">
      <c r="A19" s="6" t="s">
        <v>23</v>
      </c>
      <c r="B19" s="7"/>
      <c r="C19" s="7"/>
      <c r="D19" s="7"/>
      <c r="E19" s="7"/>
      <c r="F19" s="8"/>
      <c r="G19" s="23">
        <f>(G20+G21+G22)</f>
        <v>30</v>
      </c>
      <c r="H19" s="10">
        <v>0.3</v>
      </c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40.5" customHeight="1">
      <c r="A20" s="11" t="s">
        <v>24</v>
      </c>
      <c r="B20" s="11">
        <v>1.0</v>
      </c>
      <c r="C20" s="12">
        <v>0.0</v>
      </c>
      <c r="D20" s="12">
        <v>0.0</v>
      </c>
      <c r="E20" s="12">
        <v>0.0</v>
      </c>
      <c r="F20" s="12">
        <v>0.0</v>
      </c>
      <c r="G20" s="20">
        <f>(4*B20+3*C20+2*D20+1*E20+0*F20) * 12 / 4</f>
        <v>12</v>
      </c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54.0" customHeight="1">
      <c r="A21" s="11" t="s">
        <v>25</v>
      </c>
      <c r="B21" s="11">
        <v>1.0</v>
      </c>
      <c r="C21" s="12">
        <v>0.0</v>
      </c>
      <c r="D21" s="12">
        <v>0.0</v>
      </c>
      <c r="E21" s="12">
        <v>0.0</v>
      </c>
      <c r="F21" s="12">
        <v>0.0</v>
      </c>
      <c r="G21" s="20">
        <f>(4*B21+3*C21+2*D21+1*E21+0*F21) * 6 / 4</f>
        <v>6</v>
      </c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41.25" customHeight="1">
      <c r="A22" s="11" t="s">
        <v>26</v>
      </c>
      <c r="B22" s="11">
        <v>1.0</v>
      </c>
      <c r="C22" s="12">
        <v>0.0</v>
      </c>
      <c r="D22" s="12">
        <v>0.0</v>
      </c>
      <c r="E22" s="12">
        <v>0.0</v>
      </c>
      <c r="F22" s="12">
        <v>0.0</v>
      </c>
      <c r="G22" s="20">
        <f>(4*B22+3*C22+2*D22+1*E22+0*F22) * 12 / 4</f>
        <v>12</v>
      </c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27.75" customHeight="1">
      <c r="A23" s="24" t="s">
        <v>27</v>
      </c>
      <c r="B23" s="25"/>
      <c r="C23" s="25"/>
      <c r="D23" s="25"/>
      <c r="E23" s="25"/>
      <c r="F23" s="26"/>
      <c r="G23" s="20">
        <f>sum(G19,G17,G13,G9,G6,G2)</f>
        <v>100</v>
      </c>
      <c r="H23" s="4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27.75" customHeight="1">
      <c r="A24" s="27"/>
      <c r="B24" s="7"/>
      <c r="C24" s="7"/>
      <c r="D24" s="7"/>
      <c r="E24" s="7"/>
      <c r="F24" s="7"/>
      <c r="G24" s="8"/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27.75" customHeight="1">
      <c r="A25" s="28" t="s">
        <v>28</v>
      </c>
      <c r="B25" s="7"/>
      <c r="C25" s="7"/>
      <c r="D25" s="7"/>
      <c r="E25" s="7"/>
      <c r="F25" s="8"/>
      <c r="G25" s="29">
        <f>ROUND(G23/100*6+1,1)</f>
        <v>7</v>
      </c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27.75" customHeight="1">
      <c r="A26" s="30"/>
      <c r="B26" s="7"/>
      <c r="C26" s="7"/>
      <c r="D26" s="7"/>
      <c r="E26" s="7"/>
      <c r="F26" s="7"/>
      <c r="G26" s="8"/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7.75" customHeight="1">
      <c r="A27" s="31" t="s">
        <v>29</v>
      </c>
      <c r="B27" s="7"/>
      <c r="C27" s="7"/>
      <c r="D27" s="7"/>
      <c r="E27" s="7"/>
      <c r="F27" s="8"/>
      <c r="G27" s="29">
        <v>0.0</v>
      </c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27.75" customHeight="1">
      <c r="A28" s="31" t="s">
        <v>30</v>
      </c>
      <c r="B28" s="7"/>
      <c r="C28" s="7"/>
      <c r="D28" s="7"/>
      <c r="E28" s="7"/>
      <c r="F28" s="8"/>
      <c r="G28" s="29">
        <v>0.0</v>
      </c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27.75" customHeight="1">
      <c r="A29" s="30"/>
      <c r="B29" s="7"/>
      <c r="C29" s="7"/>
      <c r="D29" s="7"/>
      <c r="E29" s="7"/>
      <c r="F29" s="7"/>
      <c r="G29" s="8"/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27.75" customHeight="1">
      <c r="A30" s="32" t="s">
        <v>31</v>
      </c>
      <c r="B30" s="7"/>
      <c r="C30" s="7"/>
      <c r="D30" s="7"/>
      <c r="E30" s="7"/>
      <c r="F30" s="8"/>
      <c r="G30" s="33">
        <f>G25-0.5*G27-0.5*G28</f>
        <v>7</v>
      </c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4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4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4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4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4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4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4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4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4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4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4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4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4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4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4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4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4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4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4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4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4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4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4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4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4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4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4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4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4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4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4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4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4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4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4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4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4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4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4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4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4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4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4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4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4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4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4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4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4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4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4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4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4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4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4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4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4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4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4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4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4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4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4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4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4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4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4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4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4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4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4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4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4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5"/>
      <c r="B198" s="5"/>
      <c r="C198" s="5"/>
      <c r="D198" s="5"/>
      <c r="E198" s="5"/>
      <c r="F198" s="5"/>
      <c r="G198" s="5"/>
      <c r="H198" s="4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5"/>
      <c r="B199" s="5"/>
      <c r="C199" s="5"/>
      <c r="D199" s="5"/>
      <c r="E199" s="5"/>
      <c r="F199" s="5"/>
      <c r="G199" s="5"/>
      <c r="H199" s="4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5"/>
      <c r="B200" s="5"/>
      <c r="C200" s="5"/>
      <c r="D200" s="5"/>
      <c r="E200" s="5"/>
      <c r="F200" s="5"/>
      <c r="G200" s="5"/>
      <c r="H200" s="4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5"/>
      <c r="B201" s="5"/>
      <c r="C201" s="5"/>
      <c r="D201" s="5"/>
      <c r="E201" s="5"/>
      <c r="F201" s="5"/>
      <c r="G201" s="5"/>
      <c r="H201" s="4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5"/>
      <c r="B202" s="5"/>
      <c r="C202" s="5"/>
      <c r="D202" s="5"/>
      <c r="E202" s="5"/>
      <c r="F202" s="5"/>
      <c r="G202" s="5"/>
      <c r="H202" s="4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5"/>
      <c r="B203" s="5"/>
      <c r="C203" s="5"/>
      <c r="D203" s="5"/>
      <c r="E203" s="5"/>
      <c r="F203" s="5"/>
      <c r="G203" s="5"/>
      <c r="H203" s="4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5"/>
      <c r="B204" s="5"/>
      <c r="C204" s="5"/>
      <c r="D204" s="5"/>
      <c r="E204" s="5"/>
      <c r="F204" s="5"/>
      <c r="G204" s="5"/>
      <c r="H204" s="4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5"/>
      <c r="B205" s="5"/>
      <c r="C205" s="5"/>
      <c r="D205" s="5"/>
      <c r="E205" s="5"/>
      <c r="F205" s="5"/>
      <c r="G205" s="5"/>
      <c r="H205" s="4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5"/>
      <c r="B206" s="5"/>
      <c r="C206" s="5"/>
      <c r="D206" s="5"/>
      <c r="E206" s="5"/>
      <c r="F206" s="5"/>
      <c r="G206" s="5"/>
      <c r="H206" s="4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5"/>
      <c r="B207" s="5"/>
      <c r="C207" s="5"/>
      <c r="D207" s="5"/>
      <c r="E207" s="5"/>
      <c r="F207" s="5"/>
      <c r="G207" s="5"/>
      <c r="H207" s="4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5"/>
      <c r="B208" s="5"/>
      <c r="C208" s="5"/>
      <c r="D208" s="5"/>
      <c r="E208" s="5"/>
      <c r="F208" s="5"/>
      <c r="G208" s="5"/>
      <c r="H208" s="4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5"/>
      <c r="B209" s="5"/>
      <c r="C209" s="5"/>
      <c r="D209" s="5"/>
      <c r="E209" s="5"/>
      <c r="F209" s="5"/>
      <c r="G209" s="5"/>
      <c r="H209" s="4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5"/>
      <c r="B210" s="5"/>
      <c r="C210" s="5"/>
      <c r="D210" s="5"/>
      <c r="E210" s="5"/>
      <c r="F210" s="5"/>
      <c r="G210" s="5"/>
      <c r="H210" s="4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5"/>
      <c r="B211" s="5"/>
      <c r="C211" s="5"/>
      <c r="D211" s="5"/>
      <c r="E211" s="5"/>
      <c r="F211" s="5"/>
      <c r="G211" s="5"/>
      <c r="H211" s="4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5"/>
      <c r="B212" s="5"/>
      <c r="C212" s="5"/>
      <c r="D212" s="5"/>
      <c r="E212" s="5"/>
      <c r="F212" s="5"/>
      <c r="G212" s="5"/>
      <c r="H212" s="4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5"/>
      <c r="B213" s="5"/>
      <c r="C213" s="5"/>
      <c r="D213" s="5"/>
      <c r="E213" s="5"/>
      <c r="F213" s="5"/>
      <c r="G213" s="5"/>
      <c r="H213" s="4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4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4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4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4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4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4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4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4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4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4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4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4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4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4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4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4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4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H231" s="34"/>
    </row>
    <row r="232" ht="15.75" customHeight="1">
      <c r="H232" s="34"/>
    </row>
    <row r="233" ht="15.75" customHeight="1">
      <c r="H233" s="34"/>
    </row>
    <row r="234" ht="15.75" customHeight="1">
      <c r="H234" s="34"/>
    </row>
    <row r="235" ht="15.75" customHeight="1">
      <c r="H235" s="34"/>
    </row>
    <row r="236" ht="15.75" customHeight="1">
      <c r="H236" s="34"/>
    </row>
    <row r="237" ht="15.75" customHeight="1">
      <c r="H237" s="34"/>
    </row>
    <row r="238" ht="15.75" customHeight="1">
      <c r="H238" s="34"/>
    </row>
    <row r="239" ht="15.75" customHeight="1">
      <c r="H239" s="34"/>
    </row>
    <row r="240" ht="15.75" customHeight="1">
      <c r="H240" s="34"/>
    </row>
    <row r="241" ht="15.75" customHeight="1">
      <c r="H241" s="34"/>
    </row>
    <row r="242" ht="15.75" customHeight="1">
      <c r="H242" s="34"/>
    </row>
    <row r="243" ht="15.75" customHeight="1">
      <c r="H243" s="34"/>
    </row>
    <row r="244" ht="15.75" customHeight="1">
      <c r="H244" s="34"/>
    </row>
    <row r="245" ht="15.75" customHeight="1">
      <c r="H245" s="34"/>
    </row>
    <row r="246" ht="15.75" customHeight="1">
      <c r="H246" s="34"/>
    </row>
    <row r="247" ht="15.75" customHeight="1">
      <c r="H247" s="34"/>
    </row>
    <row r="248" ht="15.75" customHeight="1">
      <c r="H248" s="34"/>
    </row>
    <row r="249" ht="15.75" customHeight="1">
      <c r="H249" s="34"/>
    </row>
    <row r="250" ht="15.75" customHeight="1">
      <c r="H250" s="34"/>
    </row>
    <row r="251" ht="15.75" customHeight="1">
      <c r="H251" s="34"/>
    </row>
    <row r="252" ht="15.75" customHeight="1">
      <c r="H252" s="34"/>
    </row>
    <row r="253" ht="15.75" customHeight="1">
      <c r="H253" s="34"/>
    </row>
    <row r="254" ht="15.75" customHeight="1">
      <c r="H254" s="34"/>
    </row>
    <row r="255" ht="15.75" customHeight="1">
      <c r="H255" s="34"/>
    </row>
    <row r="256" ht="15.75" customHeight="1">
      <c r="H256" s="34"/>
    </row>
    <row r="257" ht="15.75" customHeight="1">
      <c r="H257" s="34"/>
    </row>
    <row r="258" ht="15.75" customHeight="1">
      <c r="H258" s="34"/>
    </row>
    <row r="259" ht="15.75" customHeight="1">
      <c r="H259" s="34"/>
    </row>
    <row r="260" ht="15.75" customHeight="1">
      <c r="H260" s="34"/>
    </row>
    <row r="261" ht="15.75" customHeight="1">
      <c r="H261" s="34"/>
    </row>
    <row r="262" ht="15.75" customHeight="1">
      <c r="H262" s="34"/>
    </row>
    <row r="263" ht="15.75" customHeight="1">
      <c r="H263" s="34"/>
    </row>
    <row r="264" ht="15.75" customHeight="1">
      <c r="H264" s="34"/>
    </row>
    <row r="265" ht="15.75" customHeight="1">
      <c r="H265" s="34"/>
    </row>
    <row r="266" ht="15.75" customHeight="1">
      <c r="H266" s="34"/>
    </row>
    <row r="267" ht="15.75" customHeight="1">
      <c r="H267" s="34"/>
    </row>
    <row r="268" ht="15.75" customHeight="1">
      <c r="H268" s="34"/>
    </row>
    <row r="269" ht="15.75" customHeight="1">
      <c r="H269" s="34"/>
    </row>
    <row r="270" ht="15.75" customHeight="1">
      <c r="H270" s="34"/>
    </row>
    <row r="271" ht="15.75" customHeight="1">
      <c r="H271" s="34"/>
    </row>
    <row r="272" ht="15.75" customHeight="1">
      <c r="H272" s="34"/>
    </row>
    <row r="273" ht="15.75" customHeight="1">
      <c r="H273" s="34"/>
    </row>
    <row r="274" ht="15.75" customHeight="1">
      <c r="H274" s="34"/>
    </row>
    <row r="275" ht="15.75" customHeight="1">
      <c r="H275" s="34"/>
    </row>
    <row r="276" ht="15.75" customHeight="1">
      <c r="H276" s="34"/>
    </row>
    <row r="277" ht="15.75" customHeight="1">
      <c r="H277" s="34"/>
    </row>
    <row r="278" ht="15.75" customHeight="1">
      <c r="H278" s="34"/>
    </row>
    <row r="279" ht="15.75" customHeight="1">
      <c r="H279" s="34"/>
    </row>
    <row r="280" ht="15.75" customHeight="1">
      <c r="H280" s="34"/>
    </row>
    <row r="281" ht="15.75" customHeight="1">
      <c r="H281" s="34"/>
    </row>
    <row r="282" ht="15.75" customHeight="1">
      <c r="H282" s="34"/>
    </row>
    <row r="283" ht="15.75" customHeight="1">
      <c r="H283" s="34"/>
    </row>
    <row r="284" ht="15.75" customHeight="1">
      <c r="H284" s="34"/>
    </row>
    <row r="285" ht="15.75" customHeight="1">
      <c r="H285" s="34"/>
    </row>
    <row r="286" ht="15.75" customHeight="1">
      <c r="H286" s="34"/>
    </row>
    <row r="287" ht="15.75" customHeight="1">
      <c r="H287" s="34"/>
    </row>
    <row r="288" ht="15.75" customHeight="1">
      <c r="H288" s="34"/>
    </row>
    <row r="289" ht="15.75" customHeight="1">
      <c r="H289" s="34"/>
    </row>
    <row r="290" ht="15.75" customHeight="1">
      <c r="H290" s="34"/>
    </row>
    <row r="291" ht="15.75" customHeight="1">
      <c r="H291" s="34"/>
    </row>
    <row r="292" ht="15.75" customHeight="1">
      <c r="H292" s="34"/>
    </row>
    <row r="293" ht="15.75" customHeight="1">
      <c r="H293" s="34"/>
    </row>
    <row r="294" ht="15.75" customHeight="1">
      <c r="H294" s="34"/>
    </row>
    <row r="295" ht="15.75" customHeight="1">
      <c r="H295" s="34"/>
    </row>
    <row r="296" ht="15.75" customHeight="1">
      <c r="H296" s="34"/>
    </row>
    <row r="297" ht="15.75" customHeight="1">
      <c r="H297" s="34"/>
    </row>
    <row r="298" ht="15.75" customHeight="1">
      <c r="H298" s="34"/>
    </row>
    <row r="299" ht="15.75" customHeight="1">
      <c r="H299" s="34"/>
    </row>
    <row r="300" ht="15.75" customHeight="1">
      <c r="H300" s="34"/>
    </row>
    <row r="301" ht="15.75" customHeight="1">
      <c r="H301" s="34"/>
    </row>
    <row r="302" ht="15.75" customHeight="1">
      <c r="H302" s="34"/>
    </row>
    <row r="303" ht="15.75" customHeight="1">
      <c r="H303" s="34"/>
    </row>
    <row r="304" ht="15.75" customHeight="1">
      <c r="H304" s="34"/>
    </row>
    <row r="305" ht="15.75" customHeight="1">
      <c r="H305" s="34"/>
    </row>
    <row r="306" ht="15.75" customHeight="1">
      <c r="H306" s="34"/>
    </row>
    <row r="307" ht="15.75" customHeight="1">
      <c r="H307" s="34"/>
    </row>
    <row r="308" ht="15.75" customHeight="1">
      <c r="H308" s="34"/>
    </row>
    <row r="309" ht="15.75" customHeight="1">
      <c r="H309" s="34"/>
    </row>
    <row r="310" ht="15.75" customHeight="1">
      <c r="H310" s="34"/>
    </row>
    <row r="311" ht="15.75" customHeight="1">
      <c r="H311" s="34"/>
    </row>
    <row r="312" ht="15.75" customHeight="1">
      <c r="H312" s="34"/>
    </row>
    <row r="313" ht="15.75" customHeight="1">
      <c r="H313" s="34"/>
    </row>
    <row r="314" ht="15.75" customHeight="1">
      <c r="H314" s="34"/>
    </row>
    <row r="315" ht="15.75" customHeight="1">
      <c r="H315" s="34"/>
    </row>
    <row r="316" ht="15.75" customHeight="1">
      <c r="H316" s="34"/>
    </row>
    <row r="317" ht="15.75" customHeight="1">
      <c r="H317" s="34"/>
    </row>
    <row r="318" ht="15.75" customHeight="1">
      <c r="H318" s="34"/>
    </row>
    <row r="319" ht="15.75" customHeight="1">
      <c r="H319" s="34"/>
    </row>
    <row r="320" ht="15.75" customHeight="1">
      <c r="H320" s="34"/>
    </row>
    <row r="321" ht="15.75" customHeight="1">
      <c r="H321" s="34"/>
    </row>
    <row r="322" ht="15.75" customHeight="1">
      <c r="H322" s="34"/>
    </row>
    <row r="323" ht="15.75" customHeight="1">
      <c r="H323" s="34"/>
    </row>
    <row r="324" ht="15.75" customHeight="1">
      <c r="H324" s="34"/>
    </row>
    <row r="325" ht="15.75" customHeight="1">
      <c r="H325" s="34"/>
    </row>
    <row r="326" ht="15.75" customHeight="1">
      <c r="H326" s="34"/>
    </row>
    <row r="327" ht="15.75" customHeight="1">
      <c r="H327" s="34"/>
    </row>
    <row r="328" ht="15.75" customHeight="1">
      <c r="H328" s="34"/>
    </row>
    <row r="329" ht="15.75" customHeight="1">
      <c r="H329" s="34"/>
    </row>
    <row r="330" ht="15.75" customHeight="1">
      <c r="H330" s="34"/>
    </row>
    <row r="331" ht="15.75" customHeight="1">
      <c r="H331" s="34"/>
    </row>
    <row r="332" ht="15.75" customHeight="1">
      <c r="H332" s="34"/>
    </row>
    <row r="333" ht="15.75" customHeight="1">
      <c r="H333" s="34"/>
    </row>
    <row r="334" ht="15.75" customHeight="1">
      <c r="H334" s="34"/>
    </row>
    <row r="335" ht="15.75" customHeight="1">
      <c r="H335" s="34"/>
    </row>
    <row r="336" ht="15.75" customHeight="1">
      <c r="H336" s="34"/>
    </row>
    <row r="337" ht="15.75" customHeight="1">
      <c r="H337" s="34"/>
    </row>
    <row r="338" ht="15.75" customHeight="1">
      <c r="H338" s="34"/>
    </row>
    <row r="339" ht="15.75" customHeight="1">
      <c r="H339" s="34"/>
    </row>
    <row r="340" ht="15.75" customHeight="1">
      <c r="H340" s="34"/>
    </row>
    <row r="341" ht="15.75" customHeight="1">
      <c r="H341" s="34"/>
    </row>
    <row r="342" ht="15.75" customHeight="1">
      <c r="H342" s="34"/>
    </row>
    <row r="343" ht="15.75" customHeight="1">
      <c r="H343" s="34"/>
    </row>
    <row r="344" ht="15.75" customHeight="1">
      <c r="H344" s="34"/>
    </row>
    <row r="345" ht="15.75" customHeight="1">
      <c r="H345" s="34"/>
    </row>
    <row r="346" ht="15.75" customHeight="1">
      <c r="H346" s="34"/>
    </row>
    <row r="347" ht="15.75" customHeight="1">
      <c r="H347" s="34"/>
    </row>
    <row r="348" ht="15.75" customHeight="1">
      <c r="H348" s="34"/>
    </row>
    <row r="349" ht="15.75" customHeight="1">
      <c r="H349" s="34"/>
    </row>
    <row r="350" ht="15.75" customHeight="1">
      <c r="H350" s="34"/>
    </row>
    <row r="351" ht="15.75" customHeight="1">
      <c r="H351" s="34"/>
    </row>
    <row r="352" ht="15.75" customHeight="1">
      <c r="H352" s="34"/>
    </row>
    <row r="353" ht="15.75" customHeight="1">
      <c r="H353" s="34"/>
    </row>
    <row r="354" ht="15.75" customHeight="1">
      <c r="H354" s="34"/>
    </row>
    <row r="355" ht="15.75" customHeight="1">
      <c r="H355" s="34"/>
    </row>
    <row r="356" ht="15.75" customHeight="1">
      <c r="H356" s="34"/>
    </row>
    <row r="357" ht="15.75" customHeight="1">
      <c r="H357" s="34"/>
    </row>
    <row r="358" ht="15.75" customHeight="1">
      <c r="H358" s="34"/>
    </row>
    <row r="359" ht="15.75" customHeight="1">
      <c r="H359" s="34"/>
    </row>
    <row r="360" ht="15.75" customHeight="1">
      <c r="H360" s="34"/>
    </row>
    <row r="361" ht="15.75" customHeight="1">
      <c r="H361" s="34"/>
    </row>
    <row r="362" ht="15.75" customHeight="1">
      <c r="H362" s="34"/>
    </row>
    <row r="363" ht="15.75" customHeight="1">
      <c r="H363" s="34"/>
    </row>
    <row r="364" ht="15.75" customHeight="1">
      <c r="H364" s="34"/>
    </row>
    <row r="365" ht="15.75" customHeight="1">
      <c r="H365" s="34"/>
    </row>
    <row r="366" ht="15.75" customHeight="1">
      <c r="H366" s="34"/>
    </row>
    <row r="367" ht="15.75" customHeight="1">
      <c r="H367" s="34"/>
    </row>
    <row r="368" ht="15.75" customHeight="1">
      <c r="H368" s="34"/>
    </row>
    <row r="369" ht="15.75" customHeight="1">
      <c r="H369" s="34"/>
    </row>
    <row r="370" ht="15.75" customHeight="1">
      <c r="H370" s="34"/>
    </row>
    <row r="371" ht="15.75" customHeight="1">
      <c r="H371" s="34"/>
    </row>
    <row r="372" ht="15.75" customHeight="1">
      <c r="H372" s="34"/>
    </row>
    <row r="373" ht="15.75" customHeight="1">
      <c r="H373" s="34"/>
    </row>
    <row r="374" ht="15.75" customHeight="1">
      <c r="H374" s="34"/>
    </row>
    <row r="375" ht="15.75" customHeight="1">
      <c r="H375" s="34"/>
    </row>
    <row r="376" ht="15.75" customHeight="1">
      <c r="H376" s="34"/>
    </row>
    <row r="377" ht="15.75" customHeight="1">
      <c r="H377" s="34"/>
    </row>
    <row r="378" ht="15.75" customHeight="1">
      <c r="H378" s="34"/>
    </row>
    <row r="379" ht="15.75" customHeight="1">
      <c r="H379" s="34"/>
    </row>
    <row r="380" ht="15.75" customHeight="1">
      <c r="H380" s="34"/>
    </row>
    <row r="381" ht="15.75" customHeight="1">
      <c r="H381" s="34"/>
    </row>
    <row r="382" ht="15.75" customHeight="1">
      <c r="H382" s="34"/>
    </row>
    <row r="383" ht="15.75" customHeight="1">
      <c r="H383" s="34"/>
    </row>
    <row r="384" ht="15.75" customHeight="1">
      <c r="H384" s="34"/>
    </row>
    <row r="385" ht="15.75" customHeight="1">
      <c r="H385" s="34"/>
    </row>
    <row r="386" ht="15.75" customHeight="1">
      <c r="H386" s="34"/>
    </row>
    <row r="387" ht="15.75" customHeight="1">
      <c r="H387" s="34"/>
    </row>
    <row r="388" ht="15.75" customHeight="1">
      <c r="H388" s="34"/>
    </row>
    <row r="389" ht="15.75" customHeight="1">
      <c r="H389" s="34"/>
    </row>
    <row r="390" ht="15.75" customHeight="1">
      <c r="H390" s="34"/>
    </row>
    <row r="391" ht="15.75" customHeight="1">
      <c r="H391" s="34"/>
    </row>
    <row r="392" ht="15.75" customHeight="1">
      <c r="H392" s="34"/>
    </row>
    <row r="393" ht="15.75" customHeight="1">
      <c r="H393" s="34"/>
    </row>
    <row r="394" ht="15.75" customHeight="1">
      <c r="H394" s="34"/>
    </row>
    <row r="395" ht="15.75" customHeight="1">
      <c r="H395" s="34"/>
    </row>
    <row r="396" ht="15.75" customHeight="1">
      <c r="H396" s="34"/>
    </row>
    <row r="397" ht="15.75" customHeight="1">
      <c r="H397" s="34"/>
    </row>
    <row r="398" ht="15.75" customHeight="1">
      <c r="H398" s="34"/>
    </row>
    <row r="399" ht="15.75" customHeight="1">
      <c r="H399" s="34"/>
    </row>
    <row r="400" ht="15.75" customHeight="1">
      <c r="H400" s="34"/>
    </row>
    <row r="401" ht="15.75" customHeight="1">
      <c r="H401" s="34"/>
    </row>
    <row r="402" ht="15.75" customHeight="1">
      <c r="H402" s="34"/>
    </row>
    <row r="403" ht="15.75" customHeight="1">
      <c r="H403" s="34"/>
    </row>
    <row r="404" ht="15.75" customHeight="1">
      <c r="H404" s="34"/>
    </row>
    <row r="405" ht="15.75" customHeight="1">
      <c r="H405" s="34"/>
    </row>
    <row r="406" ht="15.75" customHeight="1">
      <c r="H406" s="34"/>
    </row>
    <row r="407" ht="15.75" customHeight="1">
      <c r="H407" s="34"/>
    </row>
    <row r="408" ht="15.75" customHeight="1">
      <c r="H408" s="34"/>
    </row>
    <row r="409" ht="15.75" customHeight="1">
      <c r="H409" s="34"/>
    </row>
    <row r="410" ht="15.75" customHeight="1">
      <c r="H410" s="34"/>
    </row>
    <row r="411" ht="15.75" customHeight="1">
      <c r="H411" s="34"/>
    </row>
    <row r="412" ht="15.75" customHeight="1">
      <c r="H412" s="34"/>
    </row>
    <row r="413" ht="15.75" customHeight="1">
      <c r="H413" s="34"/>
    </row>
    <row r="414" ht="15.75" customHeight="1">
      <c r="H414" s="34"/>
    </row>
    <row r="415" ht="15.75" customHeight="1">
      <c r="H415" s="34"/>
    </row>
    <row r="416" ht="15.75" customHeight="1">
      <c r="H416" s="34"/>
    </row>
    <row r="417" ht="15.75" customHeight="1">
      <c r="H417" s="34"/>
    </row>
    <row r="418" ht="15.75" customHeight="1">
      <c r="H418" s="34"/>
    </row>
    <row r="419" ht="15.75" customHeight="1">
      <c r="H419" s="34"/>
    </row>
    <row r="420" ht="15.75" customHeight="1">
      <c r="H420" s="34"/>
    </row>
    <row r="421" ht="15.75" customHeight="1">
      <c r="H421" s="34"/>
    </row>
    <row r="422" ht="15.75" customHeight="1">
      <c r="H422" s="34"/>
    </row>
    <row r="423" ht="15.75" customHeight="1">
      <c r="H423" s="34"/>
    </row>
    <row r="424" ht="15.75" customHeight="1">
      <c r="H424" s="34"/>
    </row>
    <row r="425" ht="15.75" customHeight="1">
      <c r="H425" s="34"/>
    </row>
    <row r="426" ht="15.75" customHeight="1">
      <c r="H426" s="34"/>
    </row>
    <row r="427" ht="15.75" customHeight="1">
      <c r="H427" s="34"/>
    </row>
    <row r="428" ht="15.75" customHeight="1">
      <c r="H428" s="34"/>
    </row>
    <row r="429" ht="15.75" customHeight="1">
      <c r="H429" s="34"/>
    </row>
    <row r="430" ht="15.75" customHeight="1">
      <c r="H430" s="34"/>
    </row>
    <row r="431" ht="15.75" customHeight="1">
      <c r="H431" s="34"/>
    </row>
    <row r="432" ht="15.75" customHeight="1">
      <c r="H432" s="34"/>
    </row>
    <row r="433" ht="15.75" customHeight="1">
      <c r="H433" s="34"/>
    </row>
    <row r="434" ht="15.75" customHeight="1">
      <c r="H434" s="34"/>
    </row>
    <row r="435" ht="15.75" customHeight="1">
      <c r="H435" s="34"/>
    </row>
    <row r="436" ht="15.75" customHeight="1">
      <c r="H436" s="34"/>
    </row>
    <row r="437" ht="15.75" customHeight="1">
      <c r="H437" s="34"/>
    </row>
    <row r="438" ht="15.75" customHeight="1">
      <c r="H438" s="34"/>
    </row>
    <row r="439" ht="15.75" customHeight="1">
      <c r="H439" s="34"/>
    </row>
    <row r="440" ht="15.75" customHeight="1">
      <c r="H440" s="34"/>
    </row>
    <row r="441" ht="15.75" customHeight="1">
      <c r="H441" s="34"/>
    </row>
    <row r="442" ht="15.75" customHeight="1">
      <c r="H442" s="34"/>
    </row>
    <row r="443" ht="15.75" customHeight="1">
      <c r="H443" s="34"/>
    </row>
    <row r="444" ht="15.75" customHeight="1">
      <c r="H444" s="34"/>
    </row>
    <row r="445" ht="15.75" customHeight="1">
      <c r="H445" s="34"/>
    </row>
    <row r="446" ht="15.75" customHeight="1">
      <c r="H446" s="34"/>
    </row>
    <row r="447" ht="15.75" customHeight="1">
      <c r="H447" s="34"/>
    </row>
    <row r="448" ht="15.75" customHeight="1">
      <c r="H448" s="34"/>
    </row>
    <row r="449" ht="15.75" customHeight="1">
      <c r="H449" s="34"/>
    </row>
    <row r="450" ht="15.75" customHeight="1">
      <c r="H450" s="34"/>
    </row>
    <row r="451" ht="15.75" customHeight="1">
      <c r="H451" s="34"/>
    </row>
    <row r="452" ht="15.75" customHeight="1">
      <c r="H452" s="34"/>
    </row>
    <row r="453" ht="15.75" customHeight="1">
      <c r="H453" s="34"/>
    </row>
    <row r="454" ht="15.75" customHeight="1">
      <c r="H454" s="34"/>
    </row>
    <row r="455" ht="15.75" customHeight="1">
      <c r="H455" s="34"/>
    </row>
    <row r="456" ht="15.75" customHeight="1">
      <c r="H456" s="34"/>
    </row>
    <row r="457" ht="15.75" customHeight="1">
      <c r="H457" s="34"/>
    </row>
    <row r="458" ht="15.75" customHeight="1">
      <c r="H458" s="34"/>
    </row>
    <row r="459" ht="15.75" customHeight="1">
      <c r="H459" s="34"/>
    </row>
    <row r="460" ht="15.75" customHeight="1">
      <c r="H460" s="34"/>
    </row>
    <row r="461" ht="15.75" customHeight="1">
      <c r="H461" s="34"/>
    </row>
    <row r="462" ht="15.75" customHeight="1">
      <c r="H462" s="34"/>
    </row>
    <row r="463" ht="15.75" customHeight="1">
      <c r="H463" s="34"/>
    </row>
    <row r="464" ht="15.75" customHeight="1">
      <c r="H464" s="34"/>
    </row>
    <row r="465" ht="15.75" customHeight="1">
      <c r="H465" s="34"/>
    </row>
    <row r="466" ht="15.75" customHeight="1">
      <c r="H466" s="34"/>
    </row>
    <row r="467" ht="15.75" customHeight="1">
      <c r="H467" s="34"/>
    </row>
    <row r="468" ht="15.75" customHeight="1">
      <c r="H468" s="34"/>
    </row>
    <row r="469" ht="15.75" customHeight="1">
      <c r="H469" s="34"/>
    </row>
    <row r="470" ht="15.75" customHeight="1">
      <c r="H470" s="34"/>
    </row>
    <row r="471" ht="15.75" customHeight="1">
      <c r="H471" s="34"/>
    </row>
    <row r="472" ht="15.75" customHeight="1">
      <c r="H472" s="34"/>
    </row>
    <row r="473" ht="15.75" customHeight="1">
      <c r="H473" s="34"/>
    </row>
    <row r="474" ht="15.75" customHeight="1">
      <c r="H474" s="34"/>
    </row>
    <row r="475" ht="15.75" customHeight="1">
      <c r="H475" s="34"/>
    </row>
    <row r="476" ht="15.75" customHeight="1">
      <c r="H476" s="34"/>
    </row>
    <row r="477" ht="15.75" customHeight="1">
      <c r="H477" s="34"/>
    </row>
    <row r="478" ht="15.75" customHeight="1">
      <c r="H478" s="34"/>
    </row>
    <row r="479" ht="15.75" customHeight="1">
      <c r="H479" s="34"/>
    </row>
    <row r="480" ht="15.75" customHeight="1">
      <c r="H480" s="34"/>
    </row>
    <row r="481" ht="15.75" customHeight="1">
      <c r="H481" s="34"/>
    </row>
    <row r="482" ht="15.75" customHeight="1">
      <c r="H482" s="34"/>
    </row>
    <row r="483" ht="15.75" customHeight="1">
      <c r="H483" s="34"/>
    </row>
    <row r="484" ht="15.75" customHeight="1">
      <c r="H484" s="34"/>
    </row>
    <row r="485" ht="15.75" customHeight="1">
      <c r="H485" s="34"/>
    </row>
    <row r="486" ht="15.75" customHeight="1">
      <c r="H486" s="34"/>
    </row>
    <row r="487" ht="15.75" customHeight="1">
      <c r="H487" s="34"/>
    </row>
    <row r="488" ht="15.75" customHeight="1">
      <c r="H488" s="34"/>
    </row>
    <row r="489" ht="15.75" customHeight="1">
      <c r="H489" s="34"/>
    </row>
    <row r="490" ht="15.75" customHeight="1">
      <c r="H490" s="34"/>
    </row>
    <row r="491" ht="15.75" customHeight="1">
      <c r="H491" s="34"/>
    </row>
    <row r="492" ht="15.75" customHeight="1">
      <c r="H492" s="34"/>
    </row>
    <row r="493" ht="15.75" customHeight="1">
      <c r="H493" s="34"/>
    </row>
    <row r="494" ht="15.75" customHeight="1">
      <c r="H494" s="34"/>
    </row>
    <row r="495" ht="15.75" customHeight="1">
      <c r="H495" s="34"/>
    </row>
    <row r="496" ht="15.75" customHeight="1">
      <c r="H496" s="34"/>
    </row>
    <row r="497" ht="15.75" customHeight="1">
      <c r="H497" s="34"/>
    </row>
    <row r="498" ht="15.75" customHeight="1">
      <c r="H498" s="34"/>
    </row>
    <row r="499" ht="15.75" customHeight="1">
      <c r="H499" s="34"/>
    </row>
    <row r="500" ht="15.75" customHeight="1">
      <c r="H500" s="34"/>
    </row>
    <row r="501" ht="15.75" customHeight="1">
      <c r="H501" s="34"/>
    </row>
    <row r="502" ht="15.75" customHeight="1">
      <c r="H502" s="34"/>
    </row>
    <row r="503" ht="15.75" customHeight="1">
      <c r="H503" s="34"/>
    </row>
    <row r="504" ht="15.75" customHeight="1">
      <c r="H504" s="34"/>
    </row>
    <row r="505" ht="15.75" customHeight="1">
      <c r="H505" s="34"/>
    </row>
    <row r="506" ht="15.75" customHeight="1">
      <c r="H506" s="34"/>
    </row>
    <row r="507" ht="15.75" customHeight="1">
      <c r="H507" s="34"/>
    </row>
    <row r="508" ht="15.75" customHeight="1">
      <c r="H508" s="34"/>
    </row>
    <row r="509" ht="15.75" customHeight="1">
      <c r="H509" s="34"/>
    </row>
    <row r="510" ht="15.75" customHeight="1">
      <c r="H510" s="34"/>
    </row>
    <row r="511" ht="15.75" customHeight="1">
      <c r="H511" s="34"/>
    </row>
    <row r="512" ht="15.75" customHeight="1">
      <c r="H512" s="34"/>
    </row>
    <row r="513" ht="15.75" customHeight="1">
      <c r="H513" s="34"/>
    </row>
    <row r="514" ht="15.75" customHeight="1">
      <c r="H514" s="34"/>
    </row>
    <row r="515" ht="15.75" customHeight="1">
      <c r="H515" s="34"/>
    </row>
    <row r="516" ht="15.75" customHeight="1">
      <c r="H516" s="34"/>
    </row>
    <row r="517" ht="15.75" customHeight="1">
      <c r="H517" s="34"/>
    </row>
    <row r="518" ht="15.75" customHeight="1">
      <c r="H518" s="34"/>
    </row>
    <row r="519" ht="15.75" customHeight="1">
      <c r="H519" s="34"/>
    </row>
    <row r="520" ht="15.75" customHeight="1">
      <c r="H520" s="34"/>
    </row>
    <row r="521" ht="15.75" customHeight="1">
      <c r="H521" s="34"/>
    </row>
    <row r="522" ht="15.75" customHeight="1">
      <c r="H522" s="34"/>
    </row>
    <row r="523" ht="15.75" customHeight="1">
      <c r="H523" s="34"/>
    </row>
    <row r="524" ht="15.75" customHeight="1">
      <c r="H524" s="34"/>
    </row>
    <row r="525" ht="15.75" customHeight="1">
      <c r="H525" s="34"/>
    </row>
    <row r="526" ht="15.75" customHeight="1">
      <c r="H526" s="34"/>
    </row>
    <row r="527" ht="15.75" customHeight="1">
      <c r="H527" s="34"/>
    </row>
    <row r="528" ht="15.75" customHeight="1">
      <c r="H528" s="34"/>
    </row>
    <row r="529" ht="15.75" customHeight="1">
      <c r="H529" s="34"/>
    </row>
    <row r="530" ht="15.75" customHeight="1">
      <c r="H530" s="34"/>
    </row>
    <row r="531" ht="15.75" customHeight="1">
      <c r="H531" s="34"/>
    </row>
    <row r="532" ht="15.75" customHeight="1">
      <c r="H532" s="34"/>
    </row>
    <row r="533" ht="15.75" customHeight="1">
      <c r="H533" s="34"/>
    </row>
    <row r="534" ht="15.75" customHeight="1">
      <c r="H534" s="34"/>
    </row>
    <row r="535" ht="15.75" customHeight="1">
      <c r="H535" s="34"/>
    </row>
    <row r="536" ht="15.75" customHeight="1">
      <c r="H536" s="34"/>
    </row>
    <row r="537" ht="15.75" customHeight="1">
      <c r="H537" s="34"/>
    </row>
    <row r="538" ht="15.75" customHeight="1">
      <c r="H538" s="34"/>
    </row>
    <row r="539" ht="15.75" customHeight="1">
      <c r="H539" s="34"/>
    </row>
    <row r="540" ht="15.75" customHeight="1">
      <c r="H540" s="34"/>
    </row>
    <row r="541" ht="15.75" customHeight="1">
      <c r="H541" s="34"/>
    </row>
    <row r="542" ht="15.75" customHeight="1">
      <c r="H542" s="34"/>
    </row>
    <row r="543" ht="15.75" customHeight="1">
      <c r="H543" s="34"/>
    </row>
    <row r="544" ht="15.75" customHeight="1">
      <c r="H544" s="34"/>
    </row>
    <row r="545" ht="15.75" customHeight="1">
      <c r="H545" s="34"/>
    </row>
    <row r="546" ht="15.75" customHeight="1">
      <c r="H546" s="34"/>
    </row>
    <row r="547" ht="15.75" customHeight="1">
      <c r="H547" s="34"/>
    </row>
    <row r="548" ht="15.75" customHeight="1">
      <c r="H548" s="34"/>
    </row>
    <row r="549" ht="15.75" customHeight="1">
      <c r="H549" s="34"/>
    </row>
    <row r="550" ht="15.75" customHeight="1">
      <c r="H550" s="34"/>
    </row>
    <row r="551" ht="15.75" customHeight="1">
      <c r="H551" s="34"/>
    </row>
    <row r="552" ht="15.75" customHeight="1">
      <c r="H552" s="34"/>
    </row>
    <row r="553" ht="15.75" customHeight="1">
      <c r="H553" s="34"/>
    </row>
    <row r="554" ht="15.75" customHeight="1">
      <c r="H554" s="34"/>
    </row>
    <row r="555" ht="15.75" customHeight="1">
      <c r="H555" s="34"/>
    </row>
    <row r="556" ht="15.75" customHeight="1">
      <c r="H556" s="34"/>
    </row>
    <row r="557" ht="15.75" customHeight="1">
      <c r="H557" s="34"/>
    </row>
    <row r="558" ht="15.75" customHeight="1">
      <c r="H558" s="34"/>
    </row>
    <row r="559" ht="15.75" customHeight="1">
      <c r="H559" s="34"/>
    </row>
    <row r="560" ht="15.75" customHeight="1">
      <c r="H560" s="34"/>
    </row>
    <row r="561" ht="15.75" customHeight="1">
      <c r="H561" s="34"/>
    </row>
    <row r="562" ht="15.75" customHeight="1">
      <c r="H562" s="34"/>
    </row>
    <row r="563" ht="15.75" customHeight="1">
      <c r="H563" s="34"/>
    </row>
    <row r="564" ht="15.75" customHeight="1">
      <c r="H564" s="34"/>
    </row>
    <row r="565" ht="15.75" customHeight="1">
      <c r="H565" s="34"/>
    </row>
    <row r="566" ht="15.75" customHeight="1">
      <c r="H566" s="34"/>
    </row>
    <row r="567" ht="15.75" customHeight="1">
      <c r="H567" s="34"/>
    </row>
    <row r="568" ht="15.75" customHeight="1">
      <c r="H568" s="34"/>
    </row>
    <row r="569" ht="15.75" customHeight="1">
      <c r="H569" s="34"/>
    </row>
    <row r="570" ht="15.75" customHeight="1">
      <c r="H570" s="34"/>
    </row>
    <row r="571" ht="15.75" customHeight="1">
      <c r="H571" s="34"/>
    </row>
    <row r="572" ht="15.75" customHeight="1">
      <c r="H572" s="34"/>
    </row>
    <row r="573" ht="15.75" customHeight="1">
      <c r="H573" s="34"/>
    </row>
    <row r="574" ht="15.75" customHeight="1">
      <c r="H574" s="34"/>
    </row>
    <row r="575" ht="15.75" customHeight="1">
      <c r="H575" s="34"/>
    </row>
    <row r="576" ht="15.75" customHeight="1">
      <c r="H576" s="34"/>
    </row>
    <row r="577" ht="15.75" customHeight="1">
      <c r="H577" s="34"/>
    </row>
    <row r="578" ht="15.75" customHeight="1">
      <c r="H578" s="34"/>
    </row>
    <row r="579" ht="15.75" customHeight="1">
      <c r="H579" s="34"/>
    </row>
    <row r="580" ht="15.75" customHeight="1">
      <c r="H580" s="34"/>
    </row>
    <row r="581" ht="15.75" customHeight="1">
      <c r="H581" s="34"/>
    </row>
    <row r="582" ht="15.75" customHeight="1">
      <c r="H582" s="34"/>
    </row>
    <row r="583" ht="15.75" customHeight="1">
      <c r="H583" s="34"/>
    </row>
    <row r="584" ht="15.75" customHeight="1">
      <c r="H584" s="34"/>
    </row>
    <row r="585" ht="15.75" customHeight="1">
      <c r="H585" s="34"/>
    </row>
    <row r="586" ht="15.75" customHeight="1">
      <c r="H586" s="34"/>
    </row>
    <row r="587" ht="15.75" customHeight="1">
      <c r="H587" s="34"/>
    </row>
    <row r="588" ht="15.75" customHeight="1">
      <c r="H588" s="34"/>
    </row>
    <row r="589" ht="15.75" customHeight="1">
      <c r="H589" s="34"/>
    </row>
    <row r="590" ht="15.75" customHeight="1">
      <c r="H590" s="34"/>
    </row>
    <row r="591" ht="15.75" customHeight="1">
      <c r="H591" s="34"/>
    </row>
    <row r="592" ht="15.75" customHeight="1">
      <c r="H592" s="34"/>
    </row>
    <row r="593" ht="15.75" customHeight="1">
      <c r="H593" s="34"/>
    </row>
    <row r="594" ht="15.75" customHeight="1">
      <c r="H594" s="34"/>
    </row>
    <row r="595" ht="15.75" customHeight="1">
      <c r="H595" s="34"/>
    </row>
    <row r="596" ht="15.75" customHeight="1">
      <c r="H596" s="34"/>
    </row>
    <row r="597" ht="15.75" customHeight="1">
      <c r="H597" s="34"/>
    </row>
    <row r="598" ht="15.75" customHeight="1">
      <c r="H598" s="34"/>
    </row>
    <row r="599" ht="15.75" customHeight="1">
      <c r="H599" s="34"/>
    </row>
    <row r="600" ht="15.75" customHeight="1">
      <c r="H600" s="34"/>
    </row>
    <row r="601" ht="15.75" customHeight="1">
      <c r="H601" s="34"/>
    </row>
    <row r="602" ht="15.75" customHeight="1">
      <c r="H602" s="34"/>
    </row>
    <row r="603" ht="15.75" customHeight="1">
      <c r="H603" s="34"/>
    </row>
    <row r="604" ht="15.75" customHeight="1">
      <c r="H604" s="34"/>
    </row>
    <row r="605" ht="15.75" customHeight="1">
      <c r="H605" s="34"/>
    </row>
    <row r="606" ht="15.75" customHeight="1">
      <c r="H606" s="34"/>
    </row>
    <row r="607" ht="15.75" customHeight="1">
      <c r="H607" s="34"/>
    </row>
    <row r="608" ht="15.75" customHeight="1">
      <c r="H608" s="34"/>
    </row>
    <row r="609" ht="15.75" customHeight="1">
      <c r="H609" s="34"/>
    </row>
    <row r="610" ht="15.75" customHeight="1">
      <c r="H610" s="34"/>
    </row>
    <row r="611" ht="15.75" customHeight="1">
      <c r="H611" s="34"/>
    </row>
    <row r="612" ht="15.75" customHeight="1">
      <c r="H612" s="34"/>
    </row>
    <row r="613" ht="15.75" customHeight="1">
      <c r="H613" s="34"/>
    </row>
    <row r="614" ht="15.75" customHeight="1">
      <c r="H614" s="34"/>
    </row>
    <row r="615" ht="15.75" customHeight="1">
      <c r="H615" s="34"/>
    </row>
    <row r="616" ht="15.75" customHeight="1">
      <c r="H616" s="34"/>
    </row>
    <row r="617" ht="15.75" customHeight="1">
      <c r="H617" s="34"/>
    </row>
    <row r="618" ht="15.75" customHeight="1">
      <c r="H618" s="34"/>
    </row>
    <row r="619" ht="15.75" customHeight="1">
      <c r="H619" s="34"/>
    </row>
    <row r="620" ht="15.75" customHeight="1">
      <c r="H620" s="34"/>
    </row>
    <row r="621" ht="15.75" customHeight="1">
      <c r="H621" s="34"/>
    </row>
    <row r="622" ht="15.75" customHeight="1">
      <c r="H622" s="34"/>
    </row>
    <row r="623" ht="15.75" customHeight="1">
      <c r="H623" s="34"/>
    </row>
    <row r="624" ht="15.75" customHeight="1">
      <c r="H624" s="34"/>
    </row>
    <row r="625" ht="15.75" customHeight="1">
      <c r="H625" s="34"/>
    </row>
    <row r="626" ht="15.75" customHeight="1">
      <c r="H626" s="34"/>
    </row>
    <row r="627" ht="15.75" customHeight="1">
      <c r="H627" s="34"/>
    </row>
    <row r="628" ht="15.75" customHeight="1">
      <c r="H628" s="34"/>
    </row>
    <row r="629" ht="15.75" customHeight="1">
      <c r="H629" s="34"/>
    </row>
    <row r="630" ht="15.75" customHeight="1">
      <c r="H630" s="34"/>
    </row>
    <row r="631" ht="15.75" customHeight="1">
      <c r="H631" s="34"/>
    </row>
    <row r="632" ht="15.75" customHeight="1">
      <c r="H632" s="34"/>
    </row>
    <row r="633" ht="15.75" customHeight="1">
      <c r="H633" s="34"/>
    </row>
    <row r="634" ht="15.75" customHeight="1">
      <c r="H634" s="34"/>
    </row>
    <row r="635" ht="15.75" customHeight="1">
      <c r="H635" s="34"/>
    </row>
    <row r="636" ht="15.75" customHeight="1">
      <c r="H636" s="34"/>
    </row>
    <row r="637" ht="15.75" customHeight="1">
      <c r="H637" s="34"/>
    </row>
    <row r="638" ht="15.75" customHeight="1">
      <c r="H638" s="34"/>
    </row>
    <row r="639" ht="15.75" customHeight="1">
      <c r="H639" s="34"/>
    </row>
    <row r="640" ht="15.75" customHeight="1">
      <c r="H640" s="34"/>
    </row>
    <row r="641" ht="15.75" customHeight="1">
      <c r="H641" s="34"/>
    </row>
    <row r="642" ht="15.75" customHeight="1">
      <c r="H642" s="34"/>
    </row>
    <row r="643" ht="15.75" customHeight="1">
      <c r="H643" s="34"/>
    </row>
    <row r="644" ht="15.75" customHeight="1">
      <c r="H644" s="34"/>
    </row>
    <row r="645" ht="15.75" customHeight="1">
      <c r="H645" s="34"/>
    </row>
    <row r="646" ht="15.75" customHeight="1">
      <c r="H646" s="34"/>
    </row>
    <row r="647" ht="15.75" customHeight="1">
      <c r="H647" s="34"/>
    </row>
    <row r="648" ht="15.75" customHeight="1">
      <c r="H648" s="34"/>
    </row>
    <row r="649" ht="15.75" customHeight="1">
      <c r="H649" s="34"/>
    </row>
    <row r="650" ht="15.75" customHeight="1">
      <c r="H650" s="34"/>
    </row>
    <row r="651" ht="15.75" customHeight="1">
      <c r="H651" s="34"/>
    </row>
    <row r="652" ht="15.75" customHeight="1">
      <c r="H652" s="34"/>
    </row>
    <row r="653" ht="15.75" customHeight="1">
      <c r="H653" s="34"/>
    </row>
    <row r="654" ht="15.75" customHeight="1">
      <c r="H654" s="34"/>
    </row>
    <row r="655" ht="15.75" customHeight="1">
      <c r="H655" s="34"/>
    </row>
    <row r="656" ht="15.75" customHeight="1">
      <c r="H656" s="34"/>
    </row>
    <row r="657" ht="15.75" customHeight="1">
      <c r="H657" s="34"/>
    </row>
    <row r="658" ht="15.75" customHeight="1">
      <c r="H658" s="34"/>
    </row>
    <row r="659" ht="15.75" customHeight="1">
      <c r="H659" s="34"/>
    </row>
    <row r="660" ht="15.75" customHeight="1">
      <c r="H660" s="34"/>
    </row>
    <row r="661" ht="15.75" customHeight="1">
      <c r="H661" s="34"/>
    </row>
    <row r="662" ht="15.75" customHeight="1">
      <c r="H662" s="34"/>
    </row>
    <row r="663" ht="15.75" customHeight="1">
      <c r="H663" s="34"/>
    </row>
    <row r="664" ht="15.75" customHeight="1">
      <c r="H664" s="34"/>
    </row>
    <row r="665" ht="15.75" customHeight="1">
      <c r="H665" s="34"/>
    </row>
    <row r="666" ht="15.75" customHeight="1">
      <c r="H666" s="34"/>
    </row>
    <row r="667" ht="15.75" customHeight="1">
      <c r="H667" s="34"/>
    </row>
    <row r="668" ht="15.75" customHeight="1">
      <c r="H668" s="34"/>
    </row>
    <row r="669" ht="15.75" customHeight="1">
      <c r="H669" s="34"/>
    </row>
    <row r="670" ht="15.75" customHeight="1">
      <c r="H670" s="34"/>
    </row>
    <row r="671" ht="15.75" customHeight="1">
      <c r="H671" s="34"/>
    </row>
    <row r="672" ht="15.75" customHeight="1">
      <c r="H672" s="34"/>
    </row>
    <row r="673" ht="15.75" customHeight="1">
      <c r="H673" s="34"/>
    </row>
    <row r="674" ht="15.75" customHeight="1">
      <c r="H674" s="34"/>
    </row>
    <row r="675" ht="15.75" customHeight="1">
      <c r="H675" s="34"/>
    </row>
    <row r="676" ht="15.75" customHeight="1">
      <c r="H676" s="34"/>
    </row>
    <row r="677" ht="15.75" customHeight="1">
      <c r="H677" s="34"/>
    </row>
    <row r="678" ht="15.75" customHeight="1">
      <c r="H678" s="34"/>
    </row>
    <row r="679" ht="15.75" customHeight="1">
      <c r="H679" s="34"/>
    </row>
    <row r="680" ht="15.75" customHeight="1">
      <c r="H680" s="34"/>
    </row>
    <row r="681" ht="15.75" customHeight="1">
      <c r="H681" s="34"/>
    </row>
    <row r="682" ht="15.75" customHeight="1">
      <c r="H682" s="34"/>
    </row>
    <row r="683" ht="15.75" customHeight="1">
      <c r="H683" s="34"/>
    </row>
    <row r="684" ht="15.75" customHeight="1">
      <c r="H684" s="34"/>
    </row>
    <row r="685" ht="15.75" customHeight="1">
      <c r="H685" s="34"/>
    </row>
    <row r="686" ht="15.75" customHeight="1">
      <c r="H686" s="34"/>
    </row>
    <row r="687" ht="15.75" customHeight="1">
      <c r="H687" s="34"/>
    </row>
    <row r="688" ht="15.75" customHeight="1">
      <c r="H688" s="34"/>
    </row>
    <row r="689" ht="15.75" customHeight="1">
      <c r="H689" s="34"/>
    </row>
    <row r="690" ht="15.75" customHeight="1">
      <c r="H690" s="34"/>
    </row>
    <row r="691" ht="15.75" customHeight="1">
      <c r="H691" s="34"/>
    </row>
    <row r="692" ht="15.75" customHeight="1">
      <c r="H692" s="34"/>
    </row>
    <row r="693" ht="15.75" customHeight="1">
      <c r="H693" s="34"/>
    </row>
    <row r="694" ht="15.75" customHeight="1">
      <c r="H694" s="34"/>
    </row>
    <row r="695" ht="15.75" customHeight="1">
      <c r="H695" s="34"/>
    </row>
    <row r="696" ht="15.75" customHeight="1">
      <c r="H696" s="34"/>
    </row>
    <row r="697" ht="15.75" customHeight="1">
      <c r="H697" s="34"/>
    </row>
    <row r="698" ht="15.75" customHeight="1">
      <c r="H698" s="34"/>
    </row>
    <row r="699" ht="15.75" customHeight="1">
      <c r="H699" s="34"/>
    </row>
    <row r="700" ht="15.75" customHeight="1">
      <c r="H700" s="34"/>
    </row>
    <row r="701" ht="15.75" customHeight="1">
      <c r="H701" s="34"/>
    </row>
    <row r="702" ht="15.75" customHeight="1">
      <c r="H702" s="34"/>
    </row>
    <row r="703" ht="15.75" customHeight="1">
      <c r="H703" s="34"/>
    </row>
    <row r="704" ht="15.75" customHeight="1">
      <c r="H704" s="34"/>
    </row>
    <row r="705" ht="15.75" customHeight="1">
      <c r="H705" s="34"/>
    </row>
    <row r="706" ht="15.75" customHeight="1">
      <c r="H706" s="34"/>
    </row>
    <row r="707" ht="15.75" customHeight="1">
      <c r="H707" s="34"/>
    </row>
    <row r="708" ht="15.75" customHeight="1">
      <c r="H708" s="34"/>
    </row>
    <row r="709" ht="15.75" customHeight="1">
      <c r="H709" s="34"/>
    </row>
    <row r="710" ht="15.75" customHeight="1">
      <c r="H710" s="34"/>
    </row>
    <row r="711" ht="15.75" customHeight="1">
      <c r="H711" s="34"/>
    </row>
    <row r="712" ht="15.75" customHeight="1">
      <c r="H712" s="34"/>
    </row>
    <row r="713" ht="15.75" customHeight="1">
      <c r="H713" s="34"/>
    </row>
    <row r="714" ht="15.75" customHeight="1">
      <c r="H714" s="34"/>
    </row>
    <row r="715" ht="15.75" customHeight="1">
      <c r="H715" s="34"/>
    </row>
    <row r="716" ht="15.75" customHeight="1">
      <c r="H716" s="34"/>
    </row>
    <row r="717" ht="15.75" customHeight="1">
      <c r="H717" s="34"/>
    </row>
    <row r="718" ht="15.75" customHeight="1">
      <c r="H718" s="34"/>
    </row>
    <row r="719" ht="15.75" customHeight="1">
      <c r="H719" s="34"/>
    </row>
    <row r="720" ht="15.75" customHeight="1">
      <c r="H720" s="34"/>
    </row>
    <row r="721" ht="15.75" customHeight="1">
      <c r="H721" s="34"/>
    </row>
    <row r="722" ht="15.75" customHeight="1">
      <c r="H722" s="34"/>
    </row>
    <row r="723" ht="15.75" customHeight="1">
      <c r="H723" s="34"/>
    </row>
    <row r="724" ht="15.75" customHeight="1">
      <c r="H724" s="34"/>
    </row>
    <row r="725" ht="15.75" customHeight="1">
      <c r="H725" s="34"/>
    </row>
    <row r="726" ht="15.75" customHeight="1">
      <c r="H726" s="34"/>
    </row>
    <row r="727" ht="15.75" customHeight="1">
      <c r="H727" s="34"/>
    </row>
    <row r="728" ht="15.75" customHeight="1">
      <c r="H728" s="34"/>
    </row>
    <row r="729" ht="15.75" customHeight="1">
      <c r="H729" s="34"/>
    </row>
    <row r="730" ht="15.75" customHeight="1">
      <c r="H730" s="34"/>
    </row>
    <row r="731" ht="15.75" customHeight="1">
      <c r="H731" s="34"/>
    </row>
    <row r="732" ht="15.75" customHeight="1">
      <c r="H732" s="34"/>
    </row>
    <row r="733" ht="15.75" customHeight="1">
      <c r="H733" s="34"/>
    </row>
    <row r="734" ht="15.75" customHeight="1">
      <c r="H734" s="34"/>
    </row>
    <row r="735" ht="15.75" customHeight="1">
      <c r="H735" s="34"/>
    </row>
    <row r="736" ht="15.75" customHeight="1">
      <c r="H736" s="34"/>
    </row>
    <row r="737" ht="15.75" customHeight="1">
      <c r="H737" s="34"/>
    </row>
    <row r="738" ht="15.75" customHeight="1">
      <c r="H738" s="34"/>
    </row>
    <row r="739" ht="15.75" customHeight="1">
      <c r="H739" s="34"/>
    </row>
    <row r="740" ht="15.75" customHeight="1">
      <c r="H740" s="34"/>
    </row>
    <row r="741" ht="15.75" customHeight="1">
      <c r="H741" s="34"/>
    </row>
    <row r="742" ht="15.75" customHeight="1">
      <c r="H742" s="34"/>
    </row>
    <row r="743" ht="15.75" customHeight="1">
      <c r="H743" s="34"/>
    </row>
    <row r="744" ht="15.75" customHeight="1">
      <c r="H744" s="34"/>
    </row>
    <row r="745" ht="15.75" customHeight="1">
      <c r="H745" s="34"/>
    </row>
    <row r="746" ht="15.75" customHeight="1">
      <c r="H746" s="34"/>
    </row>
    <row r="747" ht="15.75" customHeight="1">
      <c r="H747" s="34"/>
    </row>
    <row r="748" ht="15.75" customHeight="1">
      <c r="H748" s="34"/>
    </row>
    <row r="749" ht="15.75" customHeight="1">
      <c r="H749" s="34"/>
    </row>
    <row r="750" ht="15.75" customHeight="1">
      <c r="H750" s="34"/>
    </row>
    <row r="751" ht="15.75" customHeight="1">
      <c r="H751" s="34"/>
    </row>
    <row r="752" ht="15.75" customHeight="1">
      <c r="H752" s="34"/>
    </row>
    <row r="753" ht="15.75" customHeight="1">
      <c r="H753" s="34"/>
    </row>
    <row r="754" ht="15.75" customHeight="1">
      <c r="H754" s="34"/>
    </row>
    <row r="755" ht="15.75" customHeight="1">
      <c r="H755" s="34"/>
    </row>
    <row r="756" ht="15.75" customHeight="1">
      <c r="H756" s="34"/>
    </row>
    <row r="757" ht="15.75" customHeight="1">
      <c r="H757" s="34"/>
    </row>
    <row r="758" ht="15.75" customHeight="1">
      <c r="H758" s="34"/>
    </row>
    <row r="759" ht="15.75" customHeight="1">
      <c r="H759" s="34"/>
    </row>
    <row r="760" ht="15.75" customHeight="1">
      <c r="H760" s="34"/>
    </row>
    <row r="761" ht="15.75" customHeight="1">
      <c r="H761" s="34"/>
    </row>
    <row r="762" ht="15.75" customHeight="1">
      <c r="H762" s="34"/>
    </row>
    <row r="763" ht="15.75" customHeight="1">
      <c r="H763" s="34"/>
    </row>
    <row r="764" ht="15.75" customHeight="1">
      <c r="H764" s="34"/>
    </row>
    <row r="765" ht="15.75" customHeight="1">
      <c r="H765" s="34"/>
    </row>
    <row r="766" ht="15.75" customHeight="1">
      <c r="H766" s="34"/>
    </row>
    <row r="767" ht="15.75" customHeight="1">
      <c r="H767" s="34"/>
    </row>
    <row r="768" ht="15.75" customHeight="1">
      <c r="H768" s="34"/>
    </row>
    <row r="769" ht="15.75" customHeight="1">
      <c r="H769" s="34"/>
    </row>
    <row r="770" ht="15.75" customHeight="1">
      <c r="H770" s="34"/>
    </row>
    <row r="771" ht="15.75" customHeight="1">
      <c r="H771" s="34"/>
    </row>
    <row r="772" ht="15.75" customHeight="1">
      <c r="H772" s="34"/>
    </row>
    <row r="773" ht="15.75" customHeight="1">
      <c r="H773" s="34"/>
    </row>
    <row r="774" ht="15.75" customHeight="1">
      <c r="H774" s="34"/>
    </row>
    <row r="775" ht="15.75" customHeight="1">
      <c r="H775" s="34"/>
    </row>
    <row r="776" ht="15.75" customHeight="1">
      <c r="H776" s="34"/>
    </row>
    <row r="777" ht="15.75" customHeight="1">
      <c r="H777" s="34"/>
    </row>
    <row r="778" ht="15.75" customHeight="1">
      <c r="H778" s="34"/>
    </row>
    <row r="779" ht="15.75" customHeight="1">
      <c r="H779" s="34"/>
    </row>
    <row r="780" ht="15.75" customHeight="1">
      <c r="H780" s="34"/>
    </row>
    <row r="781" ht="15.75" customHeight="1">
      <c r="H781" s="34"/>
    </row>
    <row r="782" ht="15.75" customHeight="1">
      <c r="H782" s="34"/>
    </row>
    <row r="783" ht="15.75" customHeight="1">
      <c r="H783" s="34"/>
    </row>
    <row r="784" ht="15.75" customHeight="1">
      <c r="H784" s="34"/>
    </row>
    <row r="785" ht="15.75" customHeight="1">
      <c r="H785" s="34"/>
    </row>
    <row r="786" ht="15.75" customHeight="1">
      <c r="H786" s="34"/>
    </row>
    <row r="787" ht="15.75" customHeight="1">
      <c r="H787" s="34"/>
    </row>
    <row r="788" ht="15.75" customHeight="1">
      <c r="H788" s="34"/>
    </row>
    <row r="789" ht="15.75" customHeight="1">
      <c r="H789" s="34"/>
    </row>
    <row r="790" ht="15.75" customHeight="1">
      <c r="H790" s="34"/>
    </row>
    <row r="791" ht="15.75" customHeight="1">
      <c r="H791" s="34"/>
    </row>
    <row r="792" ht="15.75" customHeight="1">
      <c r="H792" s="34"/>
    </row>
    <row r="793" ht="15.75" customHeight="1">
      <c r="H793" s="34"/>
    </row>
    <row r="794" ht="15.75" customHeight="1">
      <c r="H794" s="34"/>
    </row>
    <row r="795" ht="15.75" customHeight="1">
      <c r="H795" s="34"/>
    </row>
    <row r="796" ht="15.75" customHeight="1">
      <c r="H796" s="34"/>
    </row>
    <row r="797" ht="15.75" customHeight="1">
      <c r="H797" s="34"/>
    </row>
    <row r="798" ht="15.75" customHeight="1">
      <c r="H798" s="34"/>
    </row>
    <row r="799" ht="15.75" customHeight="1">
      <c r="H799" s="34"/>
    </row>
    <row r="800" ht="15.75" customHeight="1">
      <c r="H800" s="34"/>
    </row>
    <row r="801" ht="15.75" customHeight="1">
      <c r="H801" s="34"/>
    </row>
    <row r="802" ht="15.75" customHeight="1">
      <c r="H802" s="34"/>
    </row>
    <row r="803" ht="15.75" customHeight="1">
      <c r="H803" s="34"/>
    </row>
    <row r="804" ht="15.75" customHeight="1">
      <c r="H804" s="34"/>
    </row>
    <row r="805" ht="15.75" customHeight="1">
      <c r="H805" s="34"/>
    </row>
    <row r="806" ht="15.75" customHeight="1">
      <c r="H806" s="34"/>
    </row>
    <row r="807" ht="15.75" customHeight="1">
      <c r="H807" s="34"/>
    </row>
    <row r="808" ht="15.75" customHeight="1">
      <c r="H808" s="34"/>
    </row>
    <row r="809" ht="15.75" customHeight="1">
      <c r="H809" s="34"/>
    </row>
    <row r="810" ht="15.75" customHeight="1">
      <c r="H810" s="34"/>
    </row>
    <row r="811" ht="15.75" customHeight="1">
      <c r="H811" s="34"/>
    </row>
    <row r="812" ht="15.75" customHeight="1">
      <c r="H812" s="34"/>
    </row>
    <row r="813" ht="15.75" customHeight="1">
      <c r="H813" s="34"/>
    </row>
    <row r="814" ht="15.75" customHeight="1">
      <c r="H814" s="34"/>
    </row>
    <row r="815" ht="15.75" customHeight="1">
      <c r="H815" s="34"/>
    </row>
    <row r="816" ht="15.75" customHeight="1">
      <c r="H816" s="34"/>
    </row>
    <row r="817" ht="15.75" customHeight="1">
      <c r="H817" s="34"/>
    </row>
    <row r="818" ht="15.75" customHeight="1">
      <c r="H818" s="34"/>
    </row>
    <row r="819" ht="15.75" customHeight="1">
      <c r="H819" s="34"/>
    </row>
    <row r="820" ht="15.75" customHeight="1">
      <c r="H820" s="34"/>
    </row>
    <row r="821" ht="15.75" customHeight="1">
      <c r="H821" s="34"/>
    </row>
    <row r="822" ht="15.75" customHeight="1">
      <c r="H822" s="34"/>
    </row>
    <row r="823" ht="15.75" customHeight="1">
      <c r="H823" s="34"/>
    </row>
    <row r="824" ht="15.75" customHeight="1">
      <c r="H824" s="34"/>
    </row>
    <row r="825" ht="15.75" customHeight="1">
      <c r="H825" s="34"/>
    </row>
    <row r="826" ht="15.75" customHeight="1">
      <c r="H826" s="34"/>
    </row>
    <row r="827" ht="15.75" customHeight="1">
      <c r="H827" s="34"/>
    </row>
    <row r="828" ht="15.75" customHeight="1">
      <c r="H828" s="34"/>
    </row>
    <row r="829" ht="15.75" customHeight="1">
      <c r="H829" s="34"/>
    </row>
    <row r="830" ht="15.75" customHeight="1">
      <c r="H830" s="34"/>
    </row>
    <row r="831" ht="15.75" customHeight="1">
      <c r="H831" s="34"/>
    </row>
    <row r="832" ht="15.75" customHeight="1">
      <c r="H832" s="34"/>
    </row>
    <row r="833" ht="15.75" customHeight="1">
      <c r="H833" s="34"/>
    </row>
    <row r="834" ht="15.75" customHeight="1">
      <c r="H834" s="34"/>
    </row>
    <row r="835" ht="15.75" customHeight="1">
      <c r="H835" s="34"/>
    </row>
    <row r="836" ht="15.75" customHeight="1">
      <c r="H836" s="34"/>
    </row>
    <row r="837" ht="15.75" customHeight="1">
      <c r="H837" s="34"/>
    </row>
    <row r="838" ht="15.75" customHeight="1">
      <c r="H838" s="34"/>
    </row>
    <row r="839" ht="15.75" customHeight="1">
      <c r="H839" s="34"/>
    </row>
    <row r="840" ht="15.75" customHeight="1">
      <c r="H840" s="34"/>
    </row>
    <row r="841" ht="15.75" customHeight="1">
      <c r="H841" s="34"/>
    </row>
    <row r="842" ht="15.75" customHeight="1">
      <c r="H842" s="34"/>
    </row>
    <row r="843" ht="15.75" customHeight="1">
      <c r="H843" s="34"/>
    </row>
    <row r="844" ht="15.75" customHeight="1">
      <c r="H844" s="34"/>
    </row>
    <row r="845" ht="15.75" customHeight="1">
      <c r="H845" s="34"/>
    </row>
    <row r="846" ht="15.75" customHeight="1">
      <c r="H846" s="34"/>
    </row>
    <row r="847" ht="15.75" customHeight="1">
      <c r="H847" s="34"/>
    </row>
    <row r="848" ht="15.75" customHeight="1">
      <c r="H848" s="34"/>
    </row>
    <row r="849" ht="15.75" customHeight="1">
      <c r="H849" s="34"/>
    </row>
    <row r="850" ht="15.75" customHeight="1">
      <c r="H850" s="34"/>
    </row>
    <row r="851" ht="15.75" customHeight="1">
      <c r="H851" s="34"/>
    </row>
    <row r="852" ht="15.75" customHeight="1">
      <c r="H852" s="34"/>
    </row>
    <row r="853" ht="15.75" customHeight="1">
      <c r="H853" s="34"/>
    </row>
    <row r="854" ht="15.75" customHeight="1">
      <c r="H854" s="34"/>
    </row>
    <row r="855" ht="15.75" customHeight="1">
      <c r="H855" s="34"/>
    </row>
    <row r="856" ht="15.75" customHeight="1">
      <c r="H856" s="34"/>
    </row>
    <row r="857" ht="15.75" customHeight="1">
      <c r="H857" s="34"/>
    </row>
    <row r="858" ht="15.75" customHeight="1">
      <c r="H858" s="34"/>
    </row>
    <row r="859" ht="15.75" customHeight="1">
      <c r="H859" s="34"/>
    </row>
    <row r="860" ht="15.75" customHeight="1">
      <c r="H860" s="34"/>
    </row>
    <row r="861" ht="15.75" customHeight="1">
      <c r="H861" s="34"/>
    </row>
    <row r="862" ht="15.75" customHeight="1">
      <c r="H862" s="34"/>
    </row>
    <row r="863" ht="15.75" customHeight="1">
      <c r="H863" s="34"/>
    </row>
    <row r="864" ht="15.75" customHeight="1">
      <c r="H864" s="34"/>
    </row>
    <row r="865" ht="15.75" customHeight="1">
      <c r="H865" s="34"/>
    </row>
    <row r="866" ht="15.75" customHeight="1">
      <c r="H866" s="34"/>
    </row>
    <row r="867" ht="15.75" customHeight="1">
      <c r="H867" s="34"/>
    </row>
    <row r="868" ht="15.75" customHeight="1">
      <c r="H868" s="34"/>
    </row>
    <row r="869" ht="15.75" customHeight="1">
      <c r="H869" s="34"/>
    </row>
    <row r="870" ht="15.75" customHeight="1">
      <c r="H870" s="34"/>
    </row>
    <row r="871" ht="15.75" customHeight="1">
      <c r="H871" s="34"/>
    </row>
    <row r="872" ht="15.75" customHeight="1">
      <c r="H872" s="34"/>
    </row>
    <row r="873" ht="15.75" customHeight="1">
      <c r="H873" s="34"/>
    </row>
    <row r="874" ht="15.75" customHeight="1">
      <c r="H874" s="34"/>
    </row>
    <row r="875" ht="15.75" customHeight="1">
      <c r="H875" s="34"/>
    </row>
    <row r="876" ht="15.75" customHeight="1">
      <c r="H876" s="34"/>
    </row>
    <row r="877" ht="15.75" customHeight="1">
      <c r="H877" s="34"/>
    </row>
    <row r="878" ht="15.75" customHeight="1">
      <c r="H878" s="34"/>
    </row>
    <row r="879" ht="15.75" customHeight="1">
      <c r="H879" s="34"/>
    </row>
    <row r="880" ht="15.75" customHeight="1">
      <c r="H880" s="34"/>
    </row>
    <row r="881" ht="15.75" customHeight="1">
      <c r="H881" s="34"/>
    </row>
    <row r="882" ht="15.75" customHeight="1">
      <c r="H882" s="34"/>
    </row>
    <row r="883" ht="15.75" customHeight="1">
      <c r="H883" s="34"/>
    </row>
    <row r="884" ht="15.75" customHeight="1">
      <c r="H884" s="34"/>
    </row>
    <row r="885" ht="15.75" customHeight="1">
      <c r="H885" s="34"/>
    </row>
    <row r="886" ht="15.75" customHeight="1">
      <c r="H886" s="34"/>
    </row>
    <row r="887" ht="15.75" customHeight="1">
      <c r="H887" s="34"/>
    </row>
    <row r="888" ht="15.75" customHeight="1">
      <c r="H888" s="34"/>
    </row>
    <row r="889" ht="15.75" customHeight="1">
      <c r="H889" s="34"/>
    </row>
    <row r="890" ht="15.75" customHeight="1">
      <c r="H890" s="34"/>
    </row>
    <row r="891" ht="15.75" customHeight="1">
      <c r="H891" s="34"/>
    </row>
    <row r="892" ht="15.75" customHeight="1">
      <c r="H892" s="34"/>
    </row>
    <row r="893" ht="15.75" customHeight="1">
      <c r="H893" s="34"/>
    </row>
    <row r="894" ht="15.75" customHeight="1">
      <c r="H894" s="34"/>
    </row>
    <row r="895" ht="15.75" customHeight="1">
      <c r="H895" s="34"/>
    </row>
    <row r="896" ht="15.75" customHeight="1">
      <c r="H896" s="34"/>
    </row>
    <row r="897" ht="15.75" customHeight="1">
      <c r="H897" s="34"/>
    </row>
    <row r="898" ht="15.75" customHeight="1">
      <c r="H898" s="34"/>
    </row>
    <row r="899" ht="15.75" customHeight="1">
      <c r="H899" s="34"/>
    </row>
    <row r="900" ht="15.75" customHeight="1">
      <c r="H900" s="34"/>
    </row>
    <row r="901" ht="15.75" customHeight="1">
      <c r="H901" s="34"/>
    </row>
    <row r="902" ht="15.75" customHeight="1">
      <c r="H902" s="34"/>
    </row>
    <row r="903" ht="15.75" customHeight="1">
      <c r="H903" s="34"/>
    </row>
    <row r="904" ht="15.75" customHeight="1">
      <c r="H904" s="34"/>
    </row>
    <row r="905" ht="15.75" customHeight="1">
      <c r="H905" s="34"/>
    </row>
    <row r="906" ht="15.75" customHeight="1">
      <c r="H906" s="34"/>
    </row>
    <row r="907" ht="15.75" customHeight="1">
      <c r="H907" s="34"/>
    </row>
    <row r="908" ht="15.75" customHeight="1">
      <c r="H908" s="34"/>
    </row>
    <row r="909" ht="15.75" customHeight="1">
      <c r="H909" s="34"/>
    </row>
    <row r="910" ht="15.75" customHeight="1">
      <c r="H910" s="34"/>
    </row>
    <row r="911" ht="15.75" customHeight="1">
      <c r="H911" s="34"/>
    </row>
    <row r="912" ht="15.75" customHeight="1">
      <c r="H912" s="34"/>
    </row>
    <row r="913" ht="15.75" customHeight="1">
      <c r="H913" s="34"/>
    </row>
    <row r="914" ht="15.75" customHeight="1">
      <c r="H914" s="34"/>
    </row>
    <row r="915" ht="15.75" customHeight="1">
      <c r="H915" s="34"/>
    </row>
    <row r="916" ht="15.75" customHeight="1">
      <c r="H916" s="34"/>
    </row>
    <row r="917" ht="15.75" customHeight="1">
      <c r="H917" s="34"/>
    </row>
    <row r="918" ht="15.75" customHeight="1">
      <c r="H918" s="34"/>
    </row>
    <row r="919" ht="15.75" customHeight="1">
      <c r="H919" s="34"/>
    </row>
    <row r="920" ht="15.75" customHeight="1">
      <c r="H920" s="34"/>
    </row>
    <row r="921" ht="15.75" customHeight="1">
      <c r="H921" s="34"/>
    </row>
    <row r="922" ht="15.75" customHeight="1">
      <c r="H922" s="34"/>
    </row>
    <row r="923" ht="15.75" customHeight="1">
      <c r="H923" s="34"/>
    </row>
    <row r="924" ht="15.75" customHeight="1">
      <c r="H924" s="34"/>
    </row>
    <row r="925" ht="15.75" customHeight="1">
      <c r="H925" s="34"/>
    </row>
    <row r="926" ht="15.75" customHeight="1">
      <c r="H926" s="34"/>
    </row>
    <row r="927" ht="15.75" customHeight="1">
      <c r="H927" s="34"/>
    </row>
    <row r="928" ht="15.75" customHeight="1">
      <c r="H928" s="34"/>
    </row>
    <row r="929" ht="15.75" customHeight="1">
      <c r="H929" s="34"/>
    </row>
    <row r="930" ht="15.75" customHeight="1">
      <c r="H930" s="34"/>
    </row>
    <row r="931" ht="15.75" customHeight="1">
      <c r="H931" s="34"/>
    </row>
    <row r="932" ht="15.75" customHeight="1">
      <c r="H932" s="34"/>
    </row>
    <row r="933" ht="15.75" customHeight="1">
      <c r="H933" s="34"/>
    </row>
    <row r="934" ht="15.75" customHeight="1">
      <c r="H934" s="34"/>
    </row>
    <row r="935" ht="15.75" customHeight="1">
      <c r="H935" s="34"/>
    </row>
    <row r="936" ht="15.75" customHeight="1">
      <c r="H936" s="34"/>
    </row>
    <row r="937" ht="15.75" customHeight="1">
      <c r="H937" s="34"/>
    </row>
    <row r="938" ht="15.75" customHeight="1">
      <c r="H938" s="34"/>
    </row>
    <row r="939" ht="15.75" customHeight="1">
      <c r="H939" s="34"/>
    </row>
    <row r="940" ht="15.75" customHeight="1">
      <c r="H940" s="34"/>
    </row>
    <row r="941" ht="15.75" customHeight="1">
      <c r="H941" s="34"/>
    </row>
    <row r="942" ht="15.75" customHeight="1">
      <c r="H942" s="34"/>
    </row>
    <row r="943" ht="15.75" customHeight="1">
      <c r="H943" s="34"/>
    </row>
    <row r="944" ht="15.75" customHeight="1">
      <c r="H944" s="34"/>
    </row>
    <row r="945" ht="15.75" customHeight="1">
      <c r="H945" s="34"/>
    </row>
    <row r="946" ht="15.75" customHeight="1">
      <c r="H946" s="34"/>
    </row>
    <row r="947" ht="15.75" customHeight="1">
      <c r="H947" s="34"/>
    </row>
    <row r="948" ht="15.75" customHeight="1">
      <c r="H948" s="34"/>
    </row>
    <row r="949" ht="15.75" customHeight="1">
      <c r="H949" s="34"/>
    </row>
    <row r="950" ht="15.75" customHeight="1">
      <c r="H950" s="34"/>
    </row>
    <row r="951" ht="15.75" customHeight="1">
      <c r="H951" s="34"/>
    </row>
    <row r="952" ht="15.75" customHeight="1">
      <c r="H952" s="34"/>
    </row>
    <row r="953" ht="15.75" customHeight="1">
      <c r="H953" s="34"/>
    </row>
    <row r="954" ht="15.75" customHeight="1">
      <c r="H954" s="34"/>
    </row>
    <row r="955" ht="15.75" customHeight="1">
      <c r="H955" s="34"/>
    </row>
    <row r="956" ht="15.75" customHeight="1">
      <c r="H956" s="34"/>
    </row>
    <row r="957" ht="15.75" customHeight="1">
      <c r="H957" s="34"/>
    </row>
    <row r="958" ht="15.75" customHeight="1">
      <c r="H958" s="34"/>
    </row>
    <row r="959" ht="15.75" customHeight="1">
      <c r="H959" s="34"/>
    </row>
    <row r="960" ht="15.75" customHeight="1">
      <c r="H960" s="34"/>
    </row>
    <row r="961" ht="15.75" customHeight="1">
      <c r="H961" s="34"/>
    </row>
    <row r="962" ht="15.75" customHeight="1">
      <c r="H962" s="34"/>
    </row>
    <row r="963" ht="15.75" customHeight="1">
      <c r="H963" s="34"/>
    </row>
    <row r="964" ht="15.75" customHeight="1">
      <c r="H964" s="34"/>
    </row>
    <row r="965" ht="15.75" customHeight="1">
      <c r="H965" s="34"/>
    </row>
    <row r="966" ht="15.75" customHeight="1">
      <c r="H966" s="34"/>
    </row>
    <row r="967" ht="15.75" customHeight="1">
      <c r="H967" s="34"/>
    </row>
    <row r="968" ht="15.75" customHeight="1">
      <c r="H968" s="34"/>
    </row>
    <row r="969" ht="15.75" customHeight="1">
      <c r="H969" s="34"/>
    </row>
    <row r="970" ht="15.75" customHeight="1">
      <c r="H970" s="34"/>
    </row>
    <row r="971" ht="15.75" customHeight="1">
      <c r="H971" s="34"/>
    </row>
    <row r="972" ht="15.75" customHeight="1">
      <c r="H972" s="34"/>
    </row>
    <row r="973" ht="15.75" customHeight="1">
      <c r="H973" s="34"/>
    </row>
    <row r="974" ht="15.75" customHeight="1">
      <c r="H974" s="34"/>
    </row>
    <row r="975" ht="15.75" customHeight="1">
      <c r="H975" s="34"/>
    </row>
    <row r="976" ht="15.75" customHeight="1">
      <c r="H976" s="34"/>
    </row>
    <row r="977" ht="15.75" customHeight="1">
      <c r="H977" s="34"/>
    </row>
    <row r="978" ht="15.75" customHeight="1">
      <c r="H978" s="34"/>
    </row>
    <row r="979" ht="15.75" customHeight="1">
      <c r="H979" s="34"/>
    </row>
    <row r="980" ht="15.75" customHeight="1">
      <c r="H980" s="34"/>
    </row>
    <row r="981" ht="15.75" customHeight="1">
      <c r="H981" s="34"/>
    </row>
    <row r="982" ht="15.75" customHeight="1">
      <c r="H982" s="34"/>
    </row>
    <row r="983" ht="15.75" customHeight="1">
      <c r="H983" s="34"/>
    </row>
    <row r="984" ht="15.75" customHeight="1">
      <c r="H984" s="34"/>
    </row>
    <row r="985" ht="15.75" customHeight="1">
      <c r="H985" s="34"/>
    </row>
    <row r="986" ht="15.75" customHeight="1">
      <c r="H986" s="34"/>
    </row>
    <row r="987" ht="15.75" customHeight="1">
      <c r="H987" s="34"/>
    </row>
    <row r="988" ht="15.75" customHeight="1">
      <c r="H988" s="34"/>
    </row>
    <row r="989" ht="15.75" customHeight="1">
      <c r="H989" s="34"/>
    </row>
    <row r="990" ht="15.75" customHeight="1">
      <c r="H990" s="34"/>
    </row>
    <row r="991" ht="15.75" customHeight="1">
      <c r="H991" s="34"/>
    </row>
    <row r="992" ht="15.75" customHeight="1">
      <c r="H992" s="34"/>
    </row>
    <row r="993" ht="15.75" customHeight="1">
      <c r="H993" s="34"/>
    </row>
    <row r="994" ht="15.75" customHeight="1">
      <c r="H994" s="34"/>
    </row>
    <row r="995" ht="15.75" customHeight="1">
      <c r="H995" s="34"/>
    </row>
    <row r="996" ht="15.75" customHeight="1">
      <c r="H996" s="34"/>
    </row>
    <row r="997" ht="15.75" customHeight="1">
      <c r="H997" s="34"/>
    </row>
    <row r="998" ht="15.75" customHeight="1">
      <c r="H998" s="34"/>
    </row>
    <row r="999" ht="15.75" customHeight="1">
      <c r="H999" s="34"/>
    </row>
    <row r="1000" ht="15.75" customHeight="1">
      <c r="H1000" s="34"/>
    </row>
    <row r="1001" ht="15.75" customHeight="1">
      <c r="H1001" s="34"/>
    </row>
    <row r="1002" ht="15.75" customHeight="1">
      <c r="H1002" s="34"/>
    </row>
    <row r="1003" ht="15.75" customHeight="1">
      <c r="H1003" s="34"/>
    </row>
    <row r="1004" ht="15.75" customHeight="1">
      <c r="H1004" s="34"/>
    </row>
    <row r="1005" ht="15.75" customHeight="1">
      <c r="H1005" s="34"/>
    </row>
    <row r="1006" ht="15.75" customHeight="1">
      <c r="H1006" s="34"/>
    </row>
    <row r="1007" ht="15.75" customHeight="1">
      <c r="H1007" s="34"/>
    </row>
    <row r="1008" ht="15.75" customHeight="1">
      <c r="H1008" s="34"/>
    </row>
    <row r="1009" ht="15.75" customHeight="1">
      <c r="H1009" s="34"/>
    </row>
    <row r="1010" ht="15.75" customHeight="1">
      <c r="H1010" s="34"/>
    </row>
  </sheetData>
  <mergeCells count="13">
    <mergeCell ref="A25:F25"/>
    <mergeCell ref="A26:G26"/>
    <mergeCell ref="A27:F27"/>
    <mergeCell ref="A28:F28"/>
    <mergeCell ref="A29:G29"/>
    <mergeCell ref="A30:F30"/>
    <mergeCell ref="A2:F2"/>
    <mergeCell ref="A6:F6"/>
    <mergeCell ref="A9:F9"/>
    <mergeCell ref="A13:F13"/>
    <mergeCell ref="A17:F17"/>
    <mergeCell ref="A19:F19"/>
    <mergeCell ref="A24:G24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