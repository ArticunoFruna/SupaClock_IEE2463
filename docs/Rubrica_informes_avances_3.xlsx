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CIynhVf1j3HRVgYMSrPYeBCscXQ=="/>
    </ext>
  </extLst>
</workbook>
</file>

<file path=xl/sharedStrings.xml><?xml version="1.0" encoding="utf-8"?>
<sst xmlns="http://schemas.openxmlformats.org/spreadsheetml/2006/main" count="22" uniqueCount="22">
  <si>
    <t>Grupo XX</t>
  </si>
  <si>
    <t>Excelente</t>
  </si>
  <si>
    <t>Bien </t>
  </si>
  <si>
    <t>Adecuado</t>
  </si>
  <si>
    <t>Deficiente</t>
  </si>
  <si>
    <t>Insuficiente o inexistente</t>
  </si>
  <si>
    <t>Diagrama de bloques de bajo nivel</t>
  </si>
  <si>
    <t>Presenta el diagrama de bloques de bajo nivel actualizado, que describe completamente el proyecto en su estado actual (indica cuales bloques están funcionando, en qué porcentaje, cuales el placa).</t>
  </si>
  <si>
    <t>Los elementos y componentes del diagrama tienen especificaciones claras y completas, con interconexiones precisamente definidas</t>
  </si>
  <si>
    <t>Los cambios en el diagrama o diseño están debidamente justificados</t>
  </si>
  <si>
    <t>Planificación</t>
  </si>
  <si>
    <t>Se muestra la planificación del trabajo semestral, indicando estado actual del proyecto y justificando cambios respecto a planificación original.</t>
  </si>
  <si>
    <t>Se describe claramente como ha sido repartido el trabajo entre miembros del grupo</t>
  </si>
  <si>
    <t>Implementación y resultados (Evaluar cada bloque descrito, y la nota se promedia automáticamente)</t>
  </si>
  <si>
    <t>Se describen los bloques implementados y otros avances realizados para la entrega, utilizando un lenguaje adecuado para un informe técnico.</t>
  </si>
  <si>
    <t>La descripción de cada item contiene los aspectos relevantes indicados en el documento "GXX_avanceX", ordenados y presentados coherentemente (incluye anexos en caso de código).</t>
  </si>
  <si>
    <t>Los resultados se muestran usando herramientas cuantitativas y cualitativas adecuadas para un informe técnico (tablas, figuras, mediciones).</t>
  </si>
  <si>
    <t>TOTAL</t>
  </si>
  <si>
    <t>Nota parcial</t>
  </si>
  <si>
    <t>Descuento atraso (días)</t>
  </si>
  <si>
    <t>Descuento formato (número de faltas)</t>
  </si>
  <si>
    <t>NOTA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</si>
</sst>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rgb="FF000000"/>
      <name val="Verdana"/>
      <scheme val="minor"/>
    </font>
    <font>
      <b/>
      <sz val="24.0"/>
      <color rgb="FF000000"/>
      <name val="Helvetica Neue"/>
    </font>
    <font>
      <b/>
      <sz val="10.0"/>
      <color rgb="FF000000"/>
      <name val="Helvetica Neue"/>
    </font>
    <font>
      <sz val="12.0"/>
      <color rgb="FF000000"/>
      <name val="Helvetica Neue"/>
    </font>
    <font>
      <sz val="12.0"/>
      <color rgb="FF000000"/>
      <name val="Calibri"/>
    </font>
    <font/>
    <font>
      <sz val="10.0"/>
      <color rgb="FF000000"/>
      <name val="Helvetica Neue"/>
    </font>
    <font>
      <b/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top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1" xfId="0" applyAlignment="1" applyBorder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4" fontId="2" numFmtId="0" xfId="0" applyAlignment="1" applyBorder="1" applyFill="1" applyFont="1">
      <alignment horizontal="left" shrinkToFit="0" vertical="top" wrapText="1"/>
    </xf>
    <xf borderId="3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1" fillId="4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1" xfId="0" applyAlignment="1" applyBorder="1" applyFont="1" applyNumberForma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4" fontId="2" numFmtId="1" xfId="0" applyAlignment="1" applyBorder="1" applyFont="1" applyNumberFormat="1">
      <alignment shrinkToFit="0" vertical="top" wrapText="1"/>
    </xf>
    <xf borderId="1" fillId="5" fontId="6" numFmtId="1" xfId="0" applyAlignment="1" applyBorder="1" applyFont="1" applyNumberFormat="1">
      <alignment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6" fillId="0" fontId="2" numFmtId="1" xfId="0" applyAlignment="1" applyBorder="1" applyFont="1" applyNumberFormat="1">
      <alignment horizontal="left" shrinkToFit="0" vertical="top" wrapText="1"/>
    </xf>
    <xf borderId="7" fillId="0" fontId="2" numFmtId="1" xfId="0" applyAlignment="1" applyBorder="1" applyFont="1" applyNumberFormat="1">
      <alignment horizontal="left" shrinkToFit="0" vertical="top" wrapText="1"/>
    </xf>
    <xf borderId="2" fillId="0" fontId="6" numFmtId="1" xfId="0" applyAlignment="1" applyBorder="1" applyFont="1" applyNumberForma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0"/>
    </xf>
    <xf borderId="1" fillId="5" fontId="4" numFmtId="0" xfId="0" applyAlignment="1" applyBorder="1" applyFont="1">
      <alignment shrinkToFit="0" vertical="top" wrapText="1"/>
    </xf>
    <xf borderId="2" fillId="0" fontId="4" numFmtId="1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left" shrinkToFit="0" vertical="top" wrapText="1"/>
    </xf>
    <xf borderId="2" fillId="2" fontId="7" numFmtId="0" xfId="0" applyAlignment="1" applyBorder="1" applyFont="1">
      <alignment horizontal="left" shrinkToFit="0" vertical="top" wrapText="0"/>
    </xf>
    <xf borderId="1" fillId="2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9.18" defaultRowHeight="15.0"/>
  <cols>
    <col customWidth="1" min="1" max="1" width="39.0"/>
    <col customWidth="1" min="2" max="5" width="8.45"/>
    <col customWidth="1" min="6" max="6" width="9.09"/>
    <col customWidth="1" min="7" max="26" width="9.45"/>
  </cols>
  <sheetData>
    <row r="1" ht="4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6</v>
      </c>
      <c r="B2" s="6"/>
      <c r="C2" s="6"/>
      <c r="D2" s="6"/>
      <c r="E2" s="6"/>
      <c r="F2" s="7"/>
      <c r="G2" s="8">
        <f>SUM(G3:G5)</f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0" customHeight="1">
      <c r="A3" s="9" t="s">
        <v>7</v>
      </c>
      <c r="B3" s="9">
        <v>1.0</v>
      </c>
      <c r="C3" s="10"/>
      <c r="D3" s="10"/>
      <c r="E3" s="10"/>
      <c r="F3" s="10"/>
      <c r="G3" s="11">
        <f t="shared" ref="G3:G5" si="1">4*B3+3*C3+2*D3+1*E3</f>
        <v>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0" customHeight="1">
      <c r="A4" s="9" t="s">
        <v>8</v>
      </c>
      <c r="B4" s="9">
        <v>1.0</v>
      </c>
      <c r="C4" s="10"/>
      <c r="D4" s="10"/>
      <c r="E4" s="10"/>
      <c r="F4" s="10"/>
      <c r="G4" s="11">
        <f t="shared" si="1"/>
        <v>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9" t="s">
        <v>9</v>
      </c>
      <c r="B5" s="9">
        <v>1.0</v>
      </c>
      <c r="C5" s="10"/>
      <c r="D5" s="10"/>
      <c r="E5" s="10"/>
      <c r="F5" s="10"/>
      <c r="G5" s="11">
        <f t="shared" si="1"/>
        <v>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5" t="s">
        <v>10</v>
      </c>
      <c r="B6" s="6"/>
      <c r="C6" s="6"/>
      <c r="D6" s="6"/>
      <c r="E6" s="6"/>
      <c r="F6" s="7"/>
      <c r="G6" s="8">
        <v>4.0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2.0" customHeight="1">
      <c r="A7" s="9" t="s">
        <v>11</v>
      </c>
      <c r="B7" s="9">
        <v>1.0</v>
      </c>
      <c r="C7" s="10"/>
      <c r="D7" s="10"/>
      <c r="E7" s="10"/>
      <c r="F7" s="10"/>
      <c r="G7" s="11">
        <f t="shared" ref="G7:G8" si="2">(4*B7+3*C7+2*D7+1*E7)/2</f>
        <v>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9" t="s">
        <v>12</v>
      </c>
      <c r="B8" s="9">
        <v>1.0</v>
      </c>
      <c r="C8" s="10"/>
      <c r="D8" s="10"/>
      <c r="E8" s="10"/>
      <c r="F8" s="10"/>
      <c r="G8" s="11">
        <f t="shared" si="2"/>
        <v>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5" t="s">
        <v>13</v>
      </c>
      <c r="B9" s="6"/>
      <c r="C9" s="6"/>
      <c r="D9" s="6"/>
      <c r="E9" s="6"/>
      <c r="F9" s="7"/>
      <c r="G9" s="12">
        <f>(G10+G11+G12)*16/12</f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0.5" customHeight="1">
      <c r="A10" s="9" t="s">
        <v>14</v>
      </c>
      <c r="B10" s="9">
        <v>1.0</v>
      </c>
      <c r="C10" s="10">
        <v>0.0</v>
      </c>
      <c r="D10" s="10">
        <v>0.0</v>
      </c>
      <c r="E10" s="10">
        <v>0.0</v>
      </c>
      <c r="F10" s="10">
        <v>0.0</v>
      </c>
      <c r="G10" s="13">
        <f t="shared" ref="G10:G12" si="3">(4*B10+3*C10+2*D10+1*E10)/(MAX(1,B10+C10+D10+E10+F10))</f>
        <v>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0" customHeight="1">
      <c r="A11" s="9" t="s">
        <v>15</v>
      </c>
      <c r="B11" s="9">
        <v>1.0</v>
      </c>
      <c r="C11" s="10">
        <v>0.0</v>
      </c>
      <c r="D11" s="10">
        <v>0.0</v>
      </c>
      <c r="E11" s="10">
        <v>0.0</v>
      </c>
      <c r="F11" s="10">
        <v>0.0</v>
      </c>
      <c r="G11" s="13">
        <f t="shared" si="3"/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1.25" customHeight="1">
      <c r="A12" s="9" t="s">
        <v>16</v>
      </c>
      <c r="B12" s="9">
        <v>1.0</v>
      </c>
      <c r="C12" s="10">
        <v>0.0</v>
      </c>
      <c r="D12" s="10">
        <v>0.0</v>
      </c>
      <c r="E12" s="10">
        <v>0.0</v>
      </c>
      <c r="F12" s="10">
        <v>0.0</v>
      </c>
      <c r="G12" s="13">
        <f t="shared" si="3"/>
        <v>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14" t="s">
        <v>17</v>
      </c>
      <c r="B13" s="15"/>
      <c r="C13" s="15"/>
      <c r="D13" s="15"/>
      <c r="E13" s="15"/>
      <c r="F13" s="16"/>
      <c r="G13" s="13">
        <f>SUM(G3:G5,G7:G8,G9)</f>
        <v>32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17"/>
      <c r="B14" s="6"/>
      <c r="C14" s="6"/>
      <c r="D14" s="6"/>
      <c r="E14" s="6"/>
      <c r="F14" s="6"/>
      <c r="G14" s="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18" t="s">
        <v>18</v>
      </c>
      <c r="B15" s="6"/>
      <c r="C15" s="6"/>
      <c r="D15" s="6"/>
      <c r="E15" s="6"/>
      <c r="F15" s="7"/>
      <c r="G15" s="19">
        <f>ROUND(G13/32*6+1,1)</f>
        <v>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20"/>
      <c r="B16" s="6"/>
      <c r="C16" s="6"/>
      <c r="D16" s="6"/>
      <c r="E16" s="6"/>
      <c r="F16" s="6"/>
      <c r="G16" s="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21" t="s">
        <v>19</v>
      </c>
      <c r="B17" s="6"/>
      <c r="C17" s="6"/>
      <c r="D17" s="6"/>
      <c r="E17" s="6"/>
      <c r="F17" s="7"/>
      <c r="G17" s="19">
        <v>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21" t="s">
        <v>20</v>
      </c>
      <c r="B18" s="6"/>
      <c r="C18" s="6"/>
      <c r="D18" s="6"/>
      <c r="E18" s="6"/>
      <c r="F18" s="7"/>
      <c r="G18" s="19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20"/>
      <c r="B19" s="6"/>
      <c r="C19" s="6"/>
      <c r="D19" s="6"/>
      <c r="E19" s="6"/>
      <c r="F19" s="6"/>
      <c r="G19" s="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22" t="s">
        <v>21</v>
      </c>
      <c r="B20" s="6"/>
      <c r="C20" s="6"/>
      <c r="D20" s="6"/>
      <c r="E20" s="6"/>
      <c r="F20" s="7"/>
      <c r="G20" s="23">
        <f>G15-0.5*G17-0.5*G18</f>
        <v>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8:F18"/>
    <mergeCell ref="A19:G19"/>
    <mergeCell ref="A20:F20"/>
    <mergeCell ref="A2:F2"/>
    <mergeCell ref="A6:F6"/>
    <mergeCell ref="A9:F9"/>
    <mergeCell ref="A14:G14"/>
    <mergeCell ref="A15:F15"/>
    <mergeCell ref="A16:G16"/>
    <mergeCell ref="A17:F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