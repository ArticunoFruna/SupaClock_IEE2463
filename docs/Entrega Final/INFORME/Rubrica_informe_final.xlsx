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1">
      <go:sheetsCustomData xmlns:go="http://customooxmlschemas.google.com/" r:id="rId5" roundtripDataSignature="AMtx7mjmMAILbXkSp8X/iSkL4u1NdPCwBQ=="/>
    </ext>
  </extLst>
</workbook>
</file>

<file path=xl/sharedStrings.xml><?xml version="1.0" encoding="utf-8"?>
<sst xmlns="http://schemas.openxmlformats.org/spreadsheetml/2006/main" count="31" uniqueCount="31">
  <si>
    <t>Grupo XX</t>
  </si>
  <si>
    <t>Excelente</t>
  </si>
  <si>
    <t>Bien </t>
  </si>
  <si>
    <t>Adecuado</t>
  </si>
  <si>
    <t>Deficiente</t>
  </si>
  <si>
    <t>Insuficiente o inexistente</t>
  </si>
  <si>
    <t>Descripción del proyecto</t>
  </si>
  <si>
    <t>Describe adecuadamente el proyecto según lo enunciado en formato de informe final</t>
  </si>
  <si>
    <t>Requerimientos y especificaciones</t>
  </si>
  <si>
    <t>Listado de funcionalidades y especificaciones</t>
  </si>
  <si>
    <t>Prototipo final</t>
  </si>
  <si>
    <t xml:space="preserve">Se muestra el prototipo y una breve descripción de como opera, pensado para el usuario. </t>
  </si>
  <si>
    <t xml:space="preserve">Análisis de cumplimiento de especificaciones </t>
  </si>
  <si>
    <t>Bill of Materials (BOM) y análisis de costo</t>
  </si>
  <si>
    <t>Diagrama de bloques de bajo nivel</t>
  </si>
  <si>
    <t>Presenta el diagrama de bloques de bajo nivel actualizado, que describe completamente el proyecto.</t>
  </si>
  <si>
    <t>Los bloques tienen especificaciones claras y completas, con interconexiones precisamente definidas</t>
  </si>
  <si>
    <t>Implementación y resultados</t>
  </si>
  <si>
    <t>Se describen los bloques implementados y otros avances realizados para la entrega, utilizando un lenguaje adecuado para un informe técnico.</t>
  </si>
  <si>
    <t>La descripción de cada item contiene los aspectos relevantes indicados en el documento "GXX_Informe_final", ordenados y presentados coherentemente (incluye anexos en caso de código).</t>
  </si>
  <si>
    <t>Los resultados se muestran usando herramientas cuantitativas y cualitativas adecuadas para un informe técnico (tablas, figuras, mediciones).</t>
  </si>
  <si>
    <t>Análisis de impacto de las soluciones y estándares</t>
  </si>
  <si>
    <t>Discusión de las aplicaciones posibles del dispositivo, o las soluciones adoptadas, a  problemas de la sociedad y el impacto que puedan tener, socioeconómicos, ambientales y en salud pública, cuando corresponda. Analizar posibles aspectos éticos.</t>
  </si>
  <si>
    <t xml:space="preserve">Análisis de aspectos de riesgo eléctrico presentes en el punto 3 del estándar ECMA-287. </t>
  </si>
  <si>
    <t>Realiza una revisión de al menos 2 estándares relacionados con el área del proyecto (ej.: comunicaciones, conectores, etc.) y enuncia correctamente las especificaciones necesarias para cumplir con ellos.</t>
  </si>
  <si>
    <t>Usa referencias al día y otras fuentes técnicas de información.</t>
  </si>
  <si>
    <t>TOTAL</t>
  </si>
  <si>
    <t>Nota parcial</t>
  </si>
  <si>
    <t>Descuento atraso (días)</t>
  </si>
  <si>
    <t>Descuento formato (número de faltas)</t>
  </si>
  <si>
    <t>NOTA FINAL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</si>
</sst>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1">
    <font>
      <sz val="12.0"/>
      <color rgb="FF000000"/>
      <name val="Verdana"/>
      <scheme val="minor"/>
    </font>
    <font>
      <b/>
      <sz val="24.0"/>
      <color rgb="FF000000"/>
      <name val="Helvetica Neue"/>
    </font>
    <font>
      <b/>
      <sz val="10.0"/>
      <color rgb="FF000000"/>
      <name val="Helvetica Neue"/>
    </font>
    <font>
      <sz val="12.0"/>
      <color rgb="FF000000"/>
      <name val="Helvetica Neue"/>
    </font>
    <font>
      <sz val="12.0"/>
      <color rgb="FF000000"/>
      <name val="Calibri"/>
    </font>
    <font/>
    <font>
      <sz val="10.0"/>
      <color rgb="FF000000"/>
      <name val="Helvetica Neue"/>
    </font>
    <font>
      <b/>
      <color theme="1"/>
      <name val="&quot;Helvetica Neue&quot;"/>
    </font>
    <font>
      <b/>
      <sz val="12.0"/>
      <color theme="1"/>
      <name val="&quot;Helvetica Neue&quot;"/>
    </font>
    <font>
      <b/>
      <sz val="12.0"/>
      <color rgb="FF000000"/>
      <name val="Calibri"/>
    </font>
    <font>
      <sz val="12.0"/>
      <color rgb="FF000000"/>
      <name val="Verdana"/>
    </font>
  </fonts>
  <fills count="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B7B7B7"/>
        <bgColor rgb="FFB7B7B7"/>
      </patternFill>
    </fill>
    <fill>
      <patternFill patternType="solid">
        <fgColor rgb="FFA5A5A5"/>
        <bgColor rgb="FFA5A5A5"/>
      </patternFill>
    </fill>
    <fill>
      <patternFill patternType="solid">
        <fgColor rgb="FFFFFFFF"/>
        <bgColor rgb="FFFFFFFF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AAAAAA"/>
      </right>
      <top style="thin">
        <color rgb="FF000000"/>
      </top>
      <bottom style="thin">
        <color rgb="FF000000"/>
      </bottom>
    </border>
    <border>
      <left style="thin">
        <color rgb="FFAAAAAA"/>
      </left>
      <right style="thin">
        <color rgb="FFAAAAAA"/>
      </right>
      <top style="thin">
        <color rgb="FF000000"/>
      </top>
      <bottom style="thin">
        <color rgb="FF000000"/>
      </bottom>
    </border>
    <border>
      <left style="thin">
        <color rgb="FFAAAAAA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top" wrapText="1"/>
    </xf>
    <xf borderId="1" fillId="2" fontId="1" numFmtId="1" xfId="0" applyAlignment="1" applyBorder="1" applyFill="1" applyFont="1" applyNumberFormat="1">
      <alignment horizontal="center" shrinkToFit="0" vertical="center" wrapText="1"/>
    </xf>
    <xf borderId="1" fillId="3" fontId="2" numFmtId="0" xfId="0" applyAlignment="1" applyBorder="1" applyFill="1" applyFont="1">
      <alignment shrinkToFit="0" vertical="top" wrapText="1"/>
    </xf>
    <xf borderId="1" fillId="3" fontId="3" numFmtId="1" xfId="0" applyAlignment="1" applyBorder="1" applyFont="1" applyNumberFormat="1">
      <alignment shrinkToFit="0" vertical="top" wrapText="1"/>
    </xf>
    <xf borderId="0" fillId="0" fontId="4" numFmtId="0" xfId="0" applyAlignment="1" applyFont="1">
      <alignment shrinkToFit="0" vertical="top" wrapText="1"/>
    </xf>
    <xf borderId="2" fillId="4" fontId="2" numFmtId="0" xfId="0" applyAlignment="1" applyBorder="1" applyFill="1" applyFont="1">
      <alignment horizontal="left" shrinkToFit="0" vertical="top" wrapText="1"/>
    </xf>
    <xf borderId="3" fillId="0" fontId="5" numFmtId="0" xfId="0" applyAlignment="1" applyBorder="1" applyFont="1">
      <alignment shrinkToFit="0" vertical="top" wrapText="1"/>
    </xf>
    <xf borderId="4" fillId="0" fontId="5" numFmtId="0" xfId="0" applyAlignment="1" applyBorder="1" applyFont="1">
      <alignment shrinkToFit="0" vertical="top" wrapText="1"/>
    </xf>
    <xf borderId="1" fillId="4" fontId="2" numFmtId="0" xfId="0" applyAlignment="1" applyBorder="1" applyFont="1">
      <alignment shrinkToFit="0" vertical="top" wrapText="1"/>
    </xf>
    <xf borderId="1" fillId="0" fontId="6" numFmtId="0" xfId="0" applyAlignment="1" applyBorder="1" applyFont="1">
      <alignment shrinkToFit="0" vertical="top" wrapText="1"/>
    </xf>
    <xf borderId="1" fillId="0" fontId="6" numFmtId="1" xfId="0" applyAlignment="1" applyBorder="1" applyFont="1" applyNumberFormat="1">
      <alignment shrinkToFit="0" vertical="top" wrapText="1"/>
    </xf>
    <xf borderId="1" fillId="5" fontId="6" numFmtId="0" xfId="0" applyAlignment="1" applyBorder="1" applyFill="1" applyFont="1">
      <alignment shrinkToFit="0" vertical="top" wrapText="1"/>
    </xf>
    <xf borderId="1" fillId="4" fontId="2" numFmtId="1" xfId="0" applyAlignment="1" applyBorder="1" applyFont="1" applyNumberFormat="1">
      <alignment shrinkToFit="0" vertical="top" wrapText="1"/>
    </xf>
    <xf borderId="2" fillId="4" fontId="7" numFmtId="0" xfId="0" applyAlignment="1" applyBorder="1" applyFont="1">
      <alignment shrinkToFit="0" vertical="top" wrapText="1"/>
    </xf>
    <xf borderId="0" fillId="4" fontId="8" numFmtId="1" xfId="0" applyAlignment="1" applyFont="1" applyNumberFormat="1">
      <alignment horizontal="right" shrinkToFit="0" vertical="top" wrapText="1"/>
    </xf>
    <xf borderId="5" fillId="0" fontId="2" numFmtId="0" xfId="0" applyAlignment="1" applyBorder="1" applyFont="1">
      <alignment horizontal="left" shrinkToFit="0" vertical="top" wrapText="1"/>
    </xf>
    <xf borderId="6" fillId="0" fontId="2" numFmtId="1" xfId="0" applyAlignment="1" applyBorder="1" applyFont="1" applyNumberFormat="1">
      <alignment horizontal="left" shrinkToFit="0" vertical="top" wrapText="1"/>
    </xf>
    <xf borderId="7" fillId="0" fontId="2" numFmtId="1" xfId="0" applyAlignment="1" applyBorder="1" applyFont="1" applyNumberFormat="1">
      <alignment horizontal="left" shrinkToFit="0" vertical="top" wrapText="1"/>
    </xf>
    <xf borderId="1" fillId="5" fontId="6" numFmtId="164" xfId="0" applyAlignment="1" applyBorder="1" applyFont="1" applyNumberFormat="1">
      <alignment shrinkToFit="0" vertical="top" wrapText="1"/>
    </xf>
    <xf borderId="2" fillId="0" fontId="6" numFmtId="1" xfId="0" applyAlignment="1" applyBorder="1" applyFont="1" applyNumberFormat="1">
      <alignment horizontal="center" shrinkToFit="0" vertical="top" wrapText="1"/>
    </xf>
    <xf borderId="2" fillId="0" fontId="9" numFmtId="0" xfId="0" applyAlignment="1" applyBorder="1" applyFont="1">
      <alignment horizontal="left" shrinkToFit="0" vertical="top" wrapText="0"/>
    </xf>
    <xf borderId="1" fillId="5" fontId="4" numFmtId="0" xfId="0" applyAlignment="1" applyBorder="1" applyFont="1">
      <alignment shrinkToFit="0" vertical="top" wrapText="1"/>
    </xf>
    <xf borderId="2" fillId="0" fontId="4" numFmtId="1" xfId="0" applyAlignment="1" applyBorder="1" applyFont="1" applyNumberFormat="1">
      <alignment horizontal="center" shrinkToFit="0" vertical="top" wrapText="0"/>
    </xf>
    <xf borderId="2" fillId="0" fontId="2" numFmtId="0" xfId="0" applyAlignment="1" applyBorder="1" applyFont="1">
      <alignment horizontal="left" shrinkToFit="0" vertical="top" wrapText="1"/>
    </xf>
    <xf borderId="2" fillId="2" fontId="9" numFmtId="0" xfId="0" applyAlignment="1" applyBorder="1" applyFont="1">
      <alignment horizontal="left" shrinkToFit="0" vertical="top" wrapText="0"/>
    </xf>
    <xf borderId="1" fillId="2" fontId="4" numFmtId="0" xfId="0" applyAlignment="1" applyBorder="1" applyFont="1">
      <alignment shrinkToFit="0" vertical="top" wrapText="1"/>
    </xf>
    <xf borderId="0" fillId="0" fontId="10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9.18" defaultRowHeight="15.0"/>
  <cols>
    <col customWidth="1" min="1" max="1" width="39.0"/>
    <col customWidth="1" min="2" max="5" width="8.45"/>
    <col customWidth="1" min="6" max="6" width="9.09"/>
    <col customWidth="1" min="7" max="26" width="9.45"/>
  </cols>
  <sheetData>
    <row r="1" ht="4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7.75" customHeight="1">
      <c r="A2" s="5" t="s">
        <v>6</v>
      </c>
      <c r="B2" s="6"/>
      <c r="C2" s="6"/>
      <c r="D2" s="6"/>
      <c r="E2" s="6"/>
      <c r="F2" s="7"/>
      <c r="G2" s="8">
        <f>SUM(G3)</f>
        <v>4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9" t="s">
        <v>7</v>
      </c>
      <c r="B3" s="9">
        <v>1.0</v>
      </c>
      <c r="C3" s="10"/>
      <c r="D3" s="10"/>
      <c r="E3" s="10"/>
      <c r="F3" s="10"/>
      <c r="G3" s="11">
        <f>(4*B3+3*C3+2*D3+1*E3)</f>
        <v>4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7.75" customHeight="1">
      <c r="A4" s="5" t="s">
        <v>8</v>
      </c>
      <c r="B4" s="6"/>
      <c r="C4" s="6"/>
      <c r="D4" s="6"/>
      <c r="E4" s="6"/>
      <c r="F4" s="7"/>
      <c r="G4" s="8">
        <f>SUM(G5)</f>
        <v>4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9" t="s">
        <v>9</v>
      </c>
      <c r="B5" s="9">
        <v>1.0</v>
      </c>
      <c r="C5" s="10"/>
      <c r="D5" s="10"/>
      <c r="E5" s="10"/>
      <c r="F5" s="10"/>
      <c r="G5" s="11">
        <f>(4*B5+3*C5+2*D5+1*E5)</f>
        <v>4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8.5" customHeight="1">
      <c r="A6" s="5" t="s">
        <v>10</v>
      </c>
      <c r="B6" s="6"/>
      <c r="C6" s="6"/>
      <c r="D6" s="6"/>
      <c r="E6" s="6"/>
      <c r="F6" s="7"/>
      <c r="G6" s="8">
        <f>SUM(G7:G9)</f>
        <v>22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9" t="s">
        <v>11</v>
      </c>
      <c r="B7" s="9">
        <v>1.0</v>
      </c>
      <c r="C7" s="10"/>
      <c r="D7" s="10"/>
      <c r="E7" s="10"/>
      <c r="F7" s="10"/>
      <c r="G7" s="11">
        <f>(4*B7+3*C7+2*D7+1*E7)*2</f>
        <v>8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9" t="s">
        <v>12</v>
      </c>
      <c r="B8" s="9">
        <v>1.0</v>
      </c>
      <c r="C8" s="10"/>
      <c r="D8" s="10"/>
      <c r="E8" s="10"/>
      <c r="F8" s="10"/>
      <c r="G8" s="11">
        <f>2*(4*B8+3*C8+2*D8+1*E8)</f>
        <v>8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9" t="s">
        <v>13</v>
      </c>
      <c r="B9" s="9">
        <v>1.0</v>
      </c>
      <c r="C9" s="10"/>
      <c r="D9" s="10"/>
      <c r="E9" s="10"/>
      <c r="F9" s="10"/>
      <c r="G9" s="11">
        <f>(4*B9+3*C9+2*D9+1*E9)*6/4</f>
        <v>6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5" t="s">
        <v>14</v>
      </c>
      <c r="B10" s="6"/>
      <c r="C10" s="6"/>
      <c r="D10" s="6"/>
      <c r="E10" s="6"/>
      <c r="F10" s="7"/>
      <c r="G10" s="8">
        <f>SUM(G11:G12)</f>
        <v>8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9" t="s">
        <v>15</v>
      </c>
      <c r="B11" s="9">
        <v>1.0</v>
      </c>
      <c r="C11" s="10"/>
      <c r="D11" s="10"/>
      <c r="E11" s="10"/>
      <c r="F11" s="10"/>
      <c r="G11" s="11">
        <f t="shared" ref="G11:G12" si="1">4*B11+3*C11+2*D11+1*E11</f>
        <v>4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9" t="s">
        <v>16</v>
      </c>
      <c r="B12" s="9">
        <v>1.0</v>
      </c>
      <c r="C12" s="10"/>
      <c r="D12" s="10"/>
      <c r="E12" s="10"/>
      <c r="F12" s="10"/>
      <c r="G12" s="11">
        <f t="shared" si="1"/>
        <v>4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7.75" customHeight="1">
      <c r="A13" s="5" t="s">
        <v>17</v>
      </c>
      <c r="B13" s="6"/>
      <c r="C13" s="6"/>
      <c r="D13" s="6"/>
      <c r="E13" s="6"/>
      <c r="F13" s="7"/>
      <c r="G13" s="12">
        <f>(G14+G15+G16)</f>
        <v>30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9" t="s">
        <v>18</v>
      </c>
      <c r="B14" s="9">
        <v>1.0</v>
      </c>
      <c r="C14" s="10"/>
      <c r="D14" s="10"/>
      <c r="E14" s="10"/>
      <c r="F14" s="10"/>
      <c r="G14" s="11">
        <f t="shared" ref="G14:G16" si="2">(4*B14+3*C14+2*D14+1*E14)*10/4</f>
        <v>10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52.5" customHeight="1">
      <c r="A15" s="9" t="s">
        <v>19</v>
      </c>
      <c r="B15" s="9">
        <v>1.0</v>
      </c>
      <c r="C15" s="10"/>
      <c r="D15" s="10"/>
      <c r="E15" s="10"/>
      <c r="F15" s="10"/>
      <c r="G15" s="11">
        <f t="shared" si="2"/>
        <v>10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9" t="s">
        <v>20</v>
      </c>
      <c r="B16" s="9">
        <v>1.0</v>
      </c>
      <c r="C16" s="10"/>
      <c r="D16" s="10"/>
      <c r="E16" s="10"/>
      <c r="F16" s="10"/>
      <c r="G16" s="11">
        <f t="shared" si="2"/>
        <v>10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3" t="s">
        <v>21</v>
      </c>
      <c r="B17" s="6"/>
      <c r="C17" s="6"/>
      <c r="D17" s="6"/>
      <c r="E17" s="6"/>
      <c r="F17" s="7"/>
      <c r="G17" s="14">
        <f>SUM(G18:G21)</f>
        <v>32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9" t="s">
        <v>22</v>
      </c>
      <c r="B18" s="9">
        <v>1.0</v>
      </c>
      <c r="C18" s="10"/>
      <c r="D18" s="10"/>
      <c r="E18" s="10"/>
      <c r="F18" s="10"/>
      <c r="G18" s="11">
        <f t="shared" ref="G18:G19" si="3">(4*B18+3*C18+2*D18+1*E18+0*F18) * 10 / 4</f>
        <v>10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9" t="s">
        <v>23</v>
      </c>
      <c r="B19" s="9">
        <v>1.0</v>
      </c>
      <c r="C19" s="10"/>
      <c r="D19" s="10"/>
      <c r="E19" s="10"/>
      <c r="F19" s="10"/>
      <c r="G19" s="11">
        <f t="shared" si="3"/>
        <v>10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9" t="s">
        <v>24</v>
      </c>
      <c r="B20" s="9">
        <v>1.0</v>
      </c>
      <c r="C20" s="10"/>
      <c r="D20" s="10"/>
      <c r="E20" s="10"/>
      <c r="F20" s="10"/>
      <c r="G20" s="11">
        <f>(4*B20+3*C20+2*D20+1*E20+0*F20) * 8 / 4</f>
        <v>8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9" t="s">
        <v>25</v>
      </c>
      <c r="B21" s="9">
        <v>1.0</v>
      </c>
      <c r="C21" s="10"/>
      <c r="D21" s="10"/>
      <c r="E21" s="10"/>
      <c r="F21" s="10"/>
      <c r="G21" s="11">
        <f>(4*B21+3*C21+2*D21+1*E21)</f>
        <v>4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15" t="s">
        <v>26</v>
      </c>
      <c r="B22" s="16"/>
      <c r="C22" s="16"/>
      <c r="D22" s="16"/>
      <c r="E22" s="16"/>
      <c r="F22" s="17"/>
      <c r="G22" s="18">
        <f>SUM(G2,G4,G6,G10,G13,G17)</f>
        <v>100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19"/>
      <c r="B23" s="6"/>
      <c r="C23" s="6"/>
      <c r="D23" s="6"/>
      <c r="E23" s="6"/>
      <c r="F23" s="6"/>
      <c r="G23" s="7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20" t="s">
        <v>27</v>
      </c>
      <c r="B24" s="6"/>
      <c r="C24" s="6"/>
      <c r="D24" s="6"/>
      <c r="E24" s="6"/>
      <c r="F24" s="7"/>
      <c r="G24" s="21">
        <f>ROUND(G22/100*6+1,1)</f>
        <v>7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22"/>
      <c r="B25" s="6"/>
      <c r="C25" s="6"/>
      <c r="D25" s="6"/>
      <c r="E25" s="6"/>
      <c r="F25" s="6"/>
      <c r="G25" s="7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23" t="s">
        <v>28</v>
      </c>
      <c r="B26" s="6"/>
      <c r="C26" s="6"/>
      <c r="D26" s="6"/>
      <c r="E26" s="6"/>
      <c r="F26" s="7"/>
      <c r="G26" s="21">
        <v>0.0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23" t="s">
        <v>29</v>
      </c>
      <c r="B27" s="6"/>
      <c r="C27" s="6"/>
      <c r="D27" s="6"/>
      <c r="E27" s="6"/>
      <c r="F27" s="7"/>
      <c r="G27" s="21">
        <v>0.0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22"/>
      <c r="B28" s="6"/>
      <c r="C28" s="6"/>
      <c r="D28" s="6"/>
      <c r="E28" s="6"/>
      <c r="F28" s="6"/>
      <c r="G28" s="7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24" t="s">
        <v>30</v>
      </c>
      <c r="B29" s="6"/>
      <c r="C29" s="6"/>
      <c r="D29" s="6"/>
      <c r="E29" s="6"/>
      <c r="F29" s="7"/>
      <c r="G29" s="25">
        <f>G24-0.5*G26-0.5*G27</f>
        <v>7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26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</row>
    <row r="231" ht="15.75" customHeight="1">
      <c r="A231" s="26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</row>
    <row r="232" ht="15.75" customHeight="1">
      <c r="A232" s="26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</row>
    <row r="233" ht="15.75" customHeight="1">
      <c r="A233" s="26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</row>
    <row r="234" ht="15.75" customHeight="1">
      <c r="A234" s="26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</row>
    <row r="235" ht="15.75" customHeight="1">
      <c r="A235" s="26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</row>
    <row r="236" ht="15.75" customHeight="1">
      <c r="A236" s="26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</row>
    <row r="237" ht="15.75" customHeight="1">
      <c r="A237" s="26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</row>
    <row r="238" ht="15.75" customHeight="1">
      <c r="A238" s="26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</row>
    <row r="239" ht="15.75" customHeight="1">
      <c r="A239" s="26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</row>
    <row r="240" ht="15.75" customHeight="1">
      <c r="A240" s="26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</row>
    <row r="241" ht="15.75" customHeight="1">
      <c r="A241" s="26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</row>
    <row r="242" ht="15.75" customHeight="1">
      <c r="A242" s="26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</row>
    <row r="243" ht="15.75" customHeight="1">
      <c r="A243" s="26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</row>
    <row r="244" ht="15.75" customHeight="1">
      <c r="A244" s="26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</row>
    <row r="245" ht="15.75" customHeight="1">
      <c r="A245" s="26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</row>
    <row r="246" ht="15.75" customHeight="1">
      <c r="A246" s="26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</row>
    <row r="247" ht="15.75" customHeight="1">
      <c r="A247" s="26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</row>
    <row r="248" ht="15.75" customHeight="1">
      <c r="A248" s="26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</row>
    <row r="249" ht="15.75" customHeight="1">
      <c r="A249" s="26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</row>
    <row r="250" ht="15.75" customHeight="1">
      <c r="A250" s="26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</row>
    <row r="251" ht="15.75" customHeight="1">
      <c r="A251" s="26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</row>
    <row r="252" ht="15.75" customHeight="1">
      <c r="A252" s="26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</row>
    <row r="253" ht="15.75" customHeight="1">
      <c r="A253" s="26"/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</row>
    <row r="254" ht="15.75" customHeight="1">
      <c r="A254" s="26"/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</row>
    <row r="255" ht="15.75" customHeight="1">
      <c r="A255" s="26"/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</row>
    <row r="256" ht="15.75" customHeight="1">
      <c r="A256" s="26"/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</row>
    <row r="257" ht="15.75" customHeight="1">
      <c r="A257" s="26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</row>
    <row r="258" ht="15.75" customHeight="1">
      <c r="A258" s="26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</row>
    <row r="259" ht="15.75" customHeight="1">
      <c r="A259" s="26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</row>
    <row r="260" ht="15.75" customHeight="1">
      <c r="A260" s="26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</row>
    <row r="261" ht="15.75" customHeight="1">
      <c r="A261" s="26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</row>
    <row r="262" ht="15.75" customHeight="1">
      <c r="A262" s="26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</row>
    <row r="263" ht="15.75" customHeight="1">
      <c r="A263" s="26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</row>
    <row r="264" ht="15.75" customHeight="1">
      <c r="A264" s="26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</row>
    <row r="265" ht="15.75" customHeight="1">
      <c r="A265" s="26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</row>
    <row r="266" ht="15.75" customHeight="1">
      <c r="A266" s="26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</row>
    <row r="267" ht="15.75" customHeight="1">
      <c r="A267" s="26"/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</row>
    <row r="268" ht="15.75" customHeight="1">
      <c r="A268" s="26"/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</row>
    <row r="269" ht="15.75" customHeight="1">
      <c r="A269" s="26"/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</row>
    <row r="270" ht="15.75" customHeight="1">
      <c r="A270" s="26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</row>
    <row r="271" ht="15.75" customHeight="1">
      <c r="A271" s="26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</row>
    <row r="272" ht="15.75" customHeight="1">
      <c r="A272" s="26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</row>
    <row r="273" ht="15.75" customHeight="1">
      <c r="A273" s="26"/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</row>
    <row r="274" ht="15.75" customHeight="1">
      <c r="A274" s="26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</row>
    <row r="275" ht="15.75" customHeight="1">
      <c r="A275" s="26"/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</row>
    <row r="276" ht="15.75" customHeight="1">
      <c r="A276" s="26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</row>
    <row r="277" ht="15.75" customHeight="1">
      <c r="A277" s="26"/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</row>
    <row r="278" ht="15.75" customHeight="1">
      <c r="A278" s="26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</row>
    <row r="279" ht="15.75" customHeight="1">
      <c r="A279" s="26"/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</row>
    <row r="280" ht="15.75" customHeight="1">
      <c r="A280" s="26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</row>
    <row r="281" ht="15.75" customHeight="1">
      <c r="A281" s="26"/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</row>
    <row r="282" ht="15.75" customHeight="1">
      <c r="A282" s="26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</row>
    <row r="283" ht="15.75" customHeight="1">
      <c r="A283" s="26"/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</row>
    <row r="284" ht="15.75" customHeight="1">
      <c r="A284" s="26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</row>
    <row r="285" ht="15.75" customHeight="1">
      <c r="A285" s="26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</row>
    <row r="286" ht="15.75" customHeight="1">
      <c r="A286" s="26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</row>
    <row r="287" ht="15.75" customHeight="1">
      <c r="A287" s="26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</row>
    <row r="288" ht="15.75" customHeight="1">
      <c r="A288" s="26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</row>
    <row r="289" ht="15.75" customHeight="1">
      <c r="A289" s="26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</row>
    <row r="290" ht="15.75" customHeight="1">
      <c r="A290" s="26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</row>
    <row r="291" ht="15.75" customHeight="1">
      <c r="A291" s="26"/>
      <c r="B291" s="26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</row>
    <row r="292" ht="15.75" customHeight="1">
      <c r="A292" s="26"/>
      <c r="B292" s="26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</row>
    <row r="293" ht="15.75" customHeight="1">
      <c r="A293" s="26"/>
      <c r="B293" s="26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</row>
    <row r="294" ht="15.75" customHeight="1">
      <c r="A294" s="26"/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</row>
    <row r="295" ht="15.75" customHeight="1">
      <c r="A295" s="26"/>
      <c r="B295" s="26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</row>
    <row r="296" ht="15.75" customHeight="1">
      <c r="A296" s="26"/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</row>
    <row r="297" ht="15.75" customHeight="1">
      <c r="A297" s="26"/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</row>
    <row r="298" ht="15.75" customHeight="1">
      <c r="A298" s="26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</row>
    <row r="299" ht="15.75" customHeight="1">
      <c r="A299" s="26"/>
      <c r="B299" s="26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</row>
    <row r="300" ht="15.75" customHeight="1">
      <c r="A300" s="26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</row>
    <row r="301" ht="15.75" customHeight="1">
      <c r="A301" s="26"/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</row>
    <row r="302" ht="15.75" customHeight="1">
      <c r="A302" s="26"/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</row>
    <row r="303" ht="15.75" customHeight="1">
      <c r="A303" s="26"/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</row>
    <row r="304" ht="15.75" customHeight="1">
      <c r="A304" s="26"/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</row>
    <row r="305" ht="15.75" customHeight="1">
      <c r="A305" s="26"/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</row>
    <row r="306" ht="15.75" customHeight="1">
      <c r="A306" s="26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</row>
    <row r="307" ht="15.75" customHeight="1">
      <c r="A307" s="26"/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</row>
    <row r="308" ht="15.75" customHeight="1">
      <c r="A308" s="26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</row>
    <row r="309" ht="15.75" customHeight="1">
      <c r="A309" s="26"/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</row>
    <row r="310" ht="15.75" customHeight="1">
      <c r="A310" s="26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</row>
    <row r="311" ht="15.75" customHeight="1">
      <c r="A311" s="26"/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</row>
    <row r="312" ht="15.75" customHeight="1">
      <c r="A312" s="26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</row>
    <row r="313" ht="15.75" customHeight="1">
      <c r="A313" s="26"/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</row>
    <row r="314" ht="15.75" customHeight="1">
      <c r="A314" s="26"/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</row>
    <row r="315" ht="15.75" customHeight="1">
      <c r="A315" s="26"/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</row>
    <row r="316" ht="15.75" customHeight="1">
      <c r="A316" s="26"/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</row>
    <row r="317" ht="15.75" customHeight="1">
      <c r="A317" s="26"/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</row>
    <row r="318" ht="15.75" customHeight="1">
      <c r="A318" s="26"/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</row>
    <row r="319" ht="15.75" customHeight="1">
      <c r="A319" s="26"/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</row>
    <row r="320" ht="15.75" customHeight="1">
      <c r="A320" s="26"/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</row>
    <row r="321" ht="15.75" customHeight="1">
      <c r="A321" s="26"/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</row>
    <row r="322" ht="15.75" customHeight="1">
      <c r="A322" s="26"/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</row>
    <row r="323" ht="15.75" customHeight="1">
      <c r="A323" s="26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</row>
    <row r="324" ht="15.75" customHeight="1">
      <c r="A324" s="26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</row>
    <row r="325" ht="15.75" customHeight="1">
      <c r="A325" s="26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</row>
    <row r="326" ht="15.75" customHeight="1">
      <c r="A326" s="26"/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</row>
    <row r="327" ht="15.75" customHeight="1">
      <c r="A327" s="26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</row>
    <row r="328" ht="15.75" customHeight="1">
      <c r="A328" s="26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</row>
    <row r="329" ht="15.75" customHeight="1">
      <c r="A329" s="26"/>
      <c r="B329" s="26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</row>
    <row r="330" ht="15.75" customHeight="1">
      <c r="A330" s="26"/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</row>
    <row r="331" ht="15.75" customHeight="1">
      <c r="A331" s="26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</row>
    <row r="332" ht="15.75" customHeight="1">
      <c r="A332" s="26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</row>
    <row r="333" ht="15.75" customHeight="1">
      <c r="A333" s="26"/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</row>
    <row r="334" ht="15.75" customHeight="1">
      <c r="A334" s="26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</row>
    <row r="335" ht="15.75" customHeight="1">
      <c r="A335" s="26"/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</row>
    <row r="336" ht="15.75" customHeight="1">
      <c r="A336" s="26"/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</row>
    <row r="337" ht="15.75" customHeight="1">
      <c r="A337" s="26"/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</row>
    <row r="338" ht="15.75" customHeight="1">
      <c r="A338" s="26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</row>
    <row r="339" ht="15.75" customHeight="1">
      <c r="A339" s="26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</row>
    <row r="340" ht="15.75" customHeight="1">
      <c r="A340" s="26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</row>
    <row r="341" ht="15.75" customHeight="1">
      <c r="A341" s="26"/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</row>
    <row r="342" ht="15.75" customHeight="1">
      <c r="A342" s="26"/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</row>
    <row r="343" ht="15.75" customHeight="1">
      <c r="A343" s="26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</row>
    <row r="344" ht="15.75" customHeight="1">
      <c r="A344" s="26"/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</row>
    <row r="345" ht="15.75" customHeight="1">
      <c r="A345" s="26"/>
      <c r="B345" s="26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</row>
    <row r="346" ht="15.75" customHeight="1">
      <c r="A346" s="26"/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</row>
    <row r="347" ht="15.75" customHeight="1">
      <c r="A347" s="26"/>
      <c r="B347" s="26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</row>
    <row r="348" ht="15.75" customHeight="1">
      <c r="A348" s="26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</row>
    <row r="349" ht="15.75" customHeight="1">
      <c r="A349" s="26"/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</row>
    <row r="350" ht="15.75" customHeight="1">
      <c r="A350" s="26"/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</row>
    <row r="351" ht="15.75" customHeight="1">
      <c r="A351" s="26"/>
      <c r="B351" s="26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</row>
    <row r="352" ht="15.75" customHeight="1">
      <c r="A352" s="26"/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</row>
    <row r="353" ht="15.75" customHeight="1">
      <c r="A353" s="26"/>
      <c r="B353" s="26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</row>
    <row r="354" ht="15.75" customHeight="1">
      <c r="A354" s="26"/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</row>
    <row r="355" ht="15.75" customHeight="1">
      <c r="A355" s="26"/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</row>
    <row r="356" ht="15.75" customHeight="1">
      <c r="A356" s="26"/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</row>
    <row r="357" ht="15.75" customHeight="1">
      <c r="A357" s="26"/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</row>
    <row r="358" ht="15.75" customHeight="1">
      <c r="A358" s="26"/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</row>
    <row r="359" ht="15.75" customHeight="1">
      <c r="A359" s="26"/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</row>
    <row r="360" ht="15.75" customHeight="1">
      <c r="A360" s="26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</row>
    <row r="361" ht="15.75" customHeight="1">
      <c r="A361" s="26"/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</row>
    <row r="362" ht="15.75" customHeight="1">
      <c r="A362" s="26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</row>
    <row r="363" ht="15.75" customHeight="1">
      <c r="A363" s="26"/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</row>
    <row r="364" ht="15.75" customHeight="1">
      <c r="A364" s="26"/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</row>
    <row r="365" ht="15.75" customHeight="1">
      <c r="A365" s="26"/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</row>
    <row r="366" ht="15.75" customHeight="1">
      <c r="A366" s="26"/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</row>
    <row r="367" ht="15.75" customHeight="1">
      <c r="A367" s="26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</row>
    <row r="368" ht="15.75" customHeight="1">
      <c r="A368" s="26"/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</row>
    <row r="369" ht="15.75" customHeight="1">
      <c r="A369" s="26"/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</row>
    <row r="370" ht="15.75" customHeight="1">
      <c r="A370" s="26"/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</row>
    <row r="371" ht="15.75" customHeight="1">
      <c r="A371" s="26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</row>
    <row r="372" ht="15.75" customHeight="1">
      <c r="A372" s="26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</row>
    <row r="373" ht="15.75" customHeight="1">
      <c r="A373" s="26"/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</row>
    <row r="374" ht="15.75" customHeight="1">
      <c r="A374" s="26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</row>
    <row r="375" ht="15.75" customHeight="1">
      <c r="A375" s="26"/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</row>
    <row r="376" ht="15.75" customHeight="1">
      <c r="A376" s="26"/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</row>
    <row r="377" ht="15.75" customHeight="1">
      <c r="A377" s="26"/>
      <c r="B377" s="26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</row>
    <row r="378" ht="15.75" customHeight="1">
      <c r="A378" s="26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</row>
    <row r="379" ht="15.75" customHeight="1">
      <c r="A379" s="26"/>
      <c r="B379" s="26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</row>
    <row r="380" ht="15.75" customHeight="1">
      <c r="A380" s="26"/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</row>
    <row r="381" ht="15.75" customHeight="1">
      <c r="A381" s="26"/>
      <c r="B381" s="26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</row>
    <row r="382" ht="15.75" customHeight="1">
      <c r="A382" s="26"/>
      <c r="B382" s="26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</row>
    <row r="383" ht="15.75" customHeight="1">
      <c r="A383" s="26"/>
      <c r="B383" s="26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</row>
    <row r="384" ht="15.75" customHeight="1">
      <c r="A384" s="26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</row>
    <row r="385" ht="15.75" customHeight="1">
      <c r="A385" s="26"/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</row>
    <row r="386" ht="15.75" customHeight="1">
      <c r="A386" s="26"/>
      <c r="B386" s="26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</row>
    <row r="387" ht="15.75" customHeight="1">
      <c r="A387" s="26"/>
      <c r="B387" s="26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</row>
    <row r="388" ht="15.75" customHeight="1">
      <c r="A388" s="26"/>
      <c r="B388" s="26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</row>
    <row r="389" ht="15.75" customHeight="1">
      <c r="A389" s="26"/>
      <c r="B389" s="26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</row>
    <row r="390" ht="15.75" customHeight="1">
      <c r="A390" s="26"/>
      <c r="B390" s="26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</row>
    <row r="391" ht="15.75" customHeight="1">
      <c r="A391" s="26"/>
      <c r="B391" s="26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</row>
    <row r="392" ht="15.75" customHeight="1">
      <c r="A392" s="26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</row>
    <row r="393" ht="15.75" customHeight="1">
      <c r="A393" s="26"/>
      <c r="B393" s="26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</row>
    <row r="394" ht="15.75" customHeight="1">
      <c r="A394" s="26"/>
      <c r="B394" s="26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</row>
    <row r="395" ht="15.75" customHeight="1">
      <c r="A395" s="26"/>
      <c r="B395" s="26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</row>
    <row r="396" ht="15.75" customHeight="1">
      <c r="A396" s="26"/>
      <c r="B396" s="26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</row>
    <row r="397" ht="15.75" customHeight="1">
      <c r="A397" s="26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</row>
    <row r="398" ht="15.75" customHeight="1">
      <c r="A398" s="26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</row>
    <row r="399" ht="15.75" customHeight="1">
      <c r="A399" s="26"/>
      <c r="B399" s="26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</row>
    <row r="400" ht="15.75" customHeight="1">
      <c r="A400" s="26"/>
      <c r="B400" s="26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</row>
    <row r="401" ht="15.75" customHeight="1">
      <c r="A401" s="26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</row>
    <row r="402" ht="15.75" customHeight="1">
      <c r="A402" s="26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</row>
    <row r="403" ht="15.75" customHeight="1">
      <c r="A403" s="26"/>
      <c r="B403" s="26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</row>
    <row r="404" ht="15.75" customHeight="1">
      <c r="A404" s="26"/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</row>
    <row r="405" ht="15.75" customHeight="1">
      <c r="A405" s="26"/>
      <c r="B405" s="26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</row>
    <row r="406" ht="15.75" customHeight="1">
      <c r="A406" s="26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</row>
    <row r="407" ht="15.75" customHeight="1">
      <c r="A407" s="26"/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</row>
    <row r="408" ht="15.75" customHeight="1">
      <c r="A408" s="26"/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</row>
    <row r="409" ht="15.75" customHeight="1">
      <c r="A409" s="26"/>
      <c r="B409" s="26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</row>
    <row r="410" ht="15.75" customHeight="1">
      <c r="A410" s="26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</row>
    <row r="411" ht="15.75" customHeight="1">
      <c r="A411" s="26"/>
      <c r="B411" s="26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</row>
    <row r="412" ht="15.75" customHeight="1">
      <c r="A412" s="26"/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</row>
    <row r="413" ht="15.75" customHeight="1">
      <c r="A413" s="26"/>
      <c r="B413" s="26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</row>
    <row r="414" ht="15.75" customHeight="1">
      <c r="A414" s="26"/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</row>
    <row r="415" ht="15.75" customHeight="1">
      <c r="A415" s="26"/>
      <c r="B415" s="26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</row>
    <row r="416" ht="15.75" customHeight="1">
      <c r="A416" s="26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</row>
    <row r="417" ht="15.75" customHeight="1">
      <c r="A417" s="26"/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</row>
    <row r="418" ht="15.75" customHeight="1">
      <c r="A418" s="26"/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</row>
    <row r="419" ht="15.75" customHeight="1">
      <c r="A419" s="26"/>
      <c r="B419" s="26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</row>
    <row r="420" ht="15.75" customHeight="1">
      <c r="A420" s="26"/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</row>
    <row r="421" ht="15.75" customHeight="1">
      <c r="A421" s="26"/>
      <c r="B421" s="26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</row>
    <row r="422" ht="15.75" customHeight="1">
      <c r="A422" s="26"/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</row>
    <row r="423" ht="15.75" customHeight="1">
      <c r="A423" s="26"/>
      <c r="B423" s="26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</row>
    <row r="424" ht="15.75" customHeight="1">
      <c r="A424" s="26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</row>
    <row r="425" ht="15.75" customHeight="1">
      <c r="A425" s="26"/>
      <c r="B425" s="26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</row>
    <row r="426" ht="15.75" customHeight="1">
      <c r="A426" s="26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</row>
    <row r="427" ht="15.75" customHeight="1">
      <c r="A427" s="26"/>
      <c r="B427" s="26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</row>
    <row r="428" ht="15.75" customHeight="1">
      <c r="A428" s="26"/>
      <c r="B428" s="26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</row>
    <row r="429" ht="15.75" customHeight="1">
      <c r="A429" s="26"/>
      <c r="B429" s="26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</row>
    <row r="430" ht="15.75" customHeight="1">
      <c r="A430" s="26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</row>
    <row r="431" ht="15.75" customHeight="1">
      <c r="A431" s="26"/>
      <c r="B431" s="26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</row>
    <row r="432" ht="15.75" customHeight="1">
      <c r="A432" s="26"/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</row>
    <row r="433" ht="15.75" customHeight="1">
      <c r="A433" s="26"/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</row>
    <row r="434" ht="15.75" customHeight="1">
      <c r="A434" s="26"/>
      <c r="B434" s="26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</row>
    <row r="435" ht="15.75" customHeight="1">
      <c r="A435" s="26"/>
      <c r="B435" s="26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</row>
    <row r="436" ht="15.75" customHeight="1">
      <c r="A436" s="26"/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</row>
    <row r="437" ht="15.75" customHeight="1">
      <c r="A437" s="26"/>
      <c r="B437" s="26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</row>
    <row r="438" ht="15.75" customHeight="1">
      <c r="A438" s="26"/>
      <c r="B438" s="26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</row>
    <row r="439" ht="15.75" customHeight="1">
      <c r="A439" s="26"/>
      <c r="B439" s="26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</row>
    <row r="440" ht="15.75" customHeight="1">
      <c r="A440" s="26"/>
      <c r="B440" s="26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</row>
    <row r="441" ht="15.75" customHeight="1">
      <c r="A441" s="26"/>
      <c r="B441" s="26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</row>
    <row r="442" ht="15.75" customHeight="1">
      <c r="A442" s="26"/>
      <c r="B442" s="26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</row>
    <row r="443" ht="15.75" customHeight="1">
      <c r="A443" s="26"/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</row>
    <row r="444" ht="15.75" customHeight="1">
      <c r="A444" s="26"/>
      <c r="B444" s="26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</row>
    <row r="445" ht="15.75" customHeight="1">
      <c r="A445" s="26"/>
      <c r="B445" s="26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</row>
    <row r="446" ht="15.75" customHeight="1">
      <c r="A446" s="26"/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</row>
    <row r="447" ht="15.75" customHeight="1">
      <c r="A447" s="26"/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</row>
    <row r="448" ht="15.75" customHeight="1">
      <c r="A448" s="26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</row>
    <row r="449" ht="15.75" customHeight="1">
      <c r="A449" s="26"/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</row>
    <row r="450" ht="15.75" customHeight="1">
      <c r="A450" s="26"/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</row>
    <row r="451" ht="15.75" customHeight="1">
      <c r="A451" s="26"/>
      <c r="B451" s="26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</row>
    <row r="452" ht="15.75" customHeight="1">
      <c r="A452" s="26"/>
      <c r="B452" s="26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</row>
    <row r="453" ht="15.75" customHeight="1">
      <c r="A453" s="26"/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</row>
    <row r="454" ht="15.75" customHeight="1">
      <c r="A454" s="26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</row>
    <row r="455" ht="15.75" customHeight="1">
      <c r="A455" s="26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</row>
    <row r="456" ht="15.75" customHeight="1">
      <c r="A456" s="26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</row>
    <row r="457" ht="15.75" customHeight="1">
      <c r="A457" s="26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</row>
    <row r="458" ht="15.75" customHeight="1">
      <c r="A458" s="26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</row>
    <row r="459" ht="15.75" customHeight="1">
      <c r="A459" s="26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</row>
    <row r="460" ht="15.75" customHeight="1">
      <c r="A460" s="26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</row>
    <row r="461" ht="15.75" customHeight="1">
      <c r="A461" s="26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</row>
    <row r="462" ht="15.75" customHeight="1">
      <c r="A462" s="26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</row>
    <row r="463" ht="15.75" customHeight="1">
      <c r="A463" s="26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</row>
    <row r="464" ht="15.75" customHeight="1">
      <c r="A464" s="26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</row>
    <row r="465" ht="15.75" customHeight="1">
      <c r="A465" s="26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</row>
    <row r="466" ht="15.75" customHeight="1">
      <c r="A466" s="26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</row>
    <row r="467" ht="15.75" customHeight="1">
      <c r="A467" s="26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</row>
    <row r="468" ht="15.75" customHeight="1">
      <c r="A468" s="26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</row>
    <row r="469" ht="15.75" customHeight="1">
      <c r="A469" s="26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</row>
    <row r="470" ht="15.75" customHeight="1">
      <c r="A470" s="26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</row>
    <row r="471" ht="15.75" customHeight="1">
      <c r="A471" s="26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</row>
    <row r="472" ht="15.75" customHeight="1">
      <c r="A472" s="26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</row>
    <row r="473" ht="15.75" customHeight="1">
      <c r="A473" s="26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</row>
    <row r="474" ht="15.75" customHeight="1">
      <c r="A474" s="26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</row>
    <row r="475" ht="15.75" customHeight="1">
      <c r="A475" s="26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</row>
    <row r="476" ht="15.75" customHeight="1">
      <c r="A476" s="26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</row>
    <row r="477" ht="15.75" customHeight="1">
      <c r="A477" s="26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</row>
    <row r="478" ht="15.75" customHeight="1">
      <c r="A478" s="26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</row>
    <row r="479" ht="15.75" customHeight="1">
      <c r="A479" s="26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</row>
    <row r="480" ht="15.75" customHeight="1">
      <c r="A480" s="26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</row>
    <row r="481" ht="15.75" customHeight="1">
      <c r="A481" s="26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</row>
    <row r="482" ht="15.75" customHeight="1">
      <c r="A482" s="26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</row>
    <row r="483" ht="15.75" customHeight="1">
      <c r="A483" s="26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</row>
    <row r="484" ht="15.75" customHeight="1">
      <c r="A484" s="26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</row>
    <row r="485" ht="15.75" customHeight="1">
      <c r="A485" s="26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</row>
    <row r="486" ht="15.75" customHeight="1">
      <c r="A486" s="26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</row>
    <row r="487" ht="15.75" customHeight="1">
      <c r="A487" s="26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</row>
    <row r="488" ht="15.75" customHeight="1">
      <c r="A488" s="26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</row>
    <row r="489" ht="15.75" customHeight="1">
      <c r="A489" s="26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</row>
    <row r="490" ht="15.75" customHeight="1">
      <c r="A490" s="26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</row>
    <row r="491" ht="15.75" customHeight="1">
      <c r="A491" s="26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</row>
    <row r="492" ht="15.75" customHeight="1">
      <c r="A492" s="26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</row>
    <row r="493" ht="15.75" customHeight="1">
      <c r="A493" s="26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</row>
    <row r="494" ht="15.75" customHeight="1">
      <c r="A494" s="26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</row>
    <row r="495" ht="15.75" customHeight="1">
      <c r="A495" s="26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</row>
    <row r="496" ht="15.75" customHeight="1">
      <c r="A496" s="26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</row>
    <row r="497" ht="15.75" customHeight="1">
      <c r="A497" s="26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</row>
    <row r="498" ht="15.75" customHeight="1">
      <c r="A498" s="26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</row>
    <row r="499" ht="15.75" customHeight="1">
      <c r="A499" s="26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</row>
    <row r="500" ht="15.75" customHeight="1">
      <c r="A500" s="26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</row>
    <row r="501" ht="15.75" customHeight="1">
      <c r="A501" s="26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</row>
    <row r="502" ht="15.75" customHeight="1">
      <c r="A502" s="26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</row>
    <row r="503" ht="15.75" customHeight="1">
      <c r="A503" s="26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</row>
    <row r="504" ht="15.75" customHeight="1">
      <c r="A504" s="26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</row>
    <row r="505" ht="15.75" customHeight="1">
      <c r="A505" s="26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</row>
    <row r="506" ht="15.75" customHeight="1">
      <c r="A506" s="26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</row>
    <row r="507" ht="15.75" customHeight="1">
      <c r="A507" s="26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</row>
    <row r="508" ht="15.75" customHeight="1">
      <c r="A508" s="26"/>
      <c r="B508" s="26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</row>
    <row r="509" ht="15.75" customHeight="1">
      <c r="A509" s="26"/>
      <c r="B509" s="26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</row>
    <row r="510" ht="15.75" customHeight="1">
      <c r="A510" s="26"/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</row>
    <row r="511" ht="15.75" customHeight="1">
      <c r="A511" s="26"/>
      <c r="B511" s="26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</row>
    <row r="512" ht="15.75" customHeight="1">
      <c r="A512" s="26"/>
      <c r="B512" s="26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</row>
    <row r="513" ht="15.75" customHeight="1">
      <c r="A513" s="26"/>
      <c r="B513" s="26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</row>
    <row r="514" ht="15.75" customHeight="1">
      <c r="A514" s="26"/>
      <c r="B514" s="26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</row>
    <row r="515" ht="15.75" customHeight="1">
      <c r="A515" s="26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</row>
    <row r="516" ht="15.75" customHeight="1">
      <c r="A516" s="26"/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</row>
    <row r="517" ht="15.75" customHeight="1">
      <c r="A517" s="26"/>
      <c r="B517" s="26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</row>
    <row r="518" ht="15.75" customHeight="1">
      <c r="A518" s="26"/>
      <c r="B518" s="26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</row>
    <row r="519" ht="15.75" customHeight="1">
      <c r="A519" s="26"/>
      <c r="B519" s="26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</row>
    <row r="520" ht="15.75" customHeight="1">
      <c r="A520" s="26"/>
      <c r="B520" s="26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</row>
    <row r="521" ht="15.75" customHeight="1">
      <c r="A521" s="26"/>
      <c r="B521" s="26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</row>
    <row r="522" ht="15.75" customHeight="1">
      <c r="A522" s="26"/>
      <c r="B522" s="26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</row>
    <row r="523" ht="15.75" customHeight="1">
      <c r="A523" s="26"/>
      <c r="B523" s="26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</row>
    <row r="524" ht="15.75" customHeight="1">
      <c r="A524" s="26"/>
      <c r="B524" s="26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</row>
    <row r="525" ht="15.75" customHeight="1">
      <c r="A525" s="26"/>
      <c r="B525" s="26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</row>
    <row r="526" ht="15.75" customHeight="1">
      <c r="A526" s="26"/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</row>
    <row r="527" ht="15.75" customHeight="1">
      <c r="A527" s="26"/>
      <c r="B527" s="26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</row>
    <row r="528" ht="15.75" customHeight="1">
      <c r="A528" s="26"/>
      <c r="B528" s="26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</row>
    <row r="529" ht="15.75" customHeight="1">
      <c r="A529" s="26"/>
      <c r="B529" s="26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</row>
    <row r="530" ht="15.75" customHeight="1">
      <c r="A530" s="26"/>
      <c r="B530" s="26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</row>
    <row r="531" ht="15.75" customHeight="1">
      <c r="A531" s="26"/>
      <c r="B531" s="26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</row>
    <row r="532" ht="15.75" customHeight="1">
      <c r="A532" s="26"/>
      <c r="B532" s="26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</row>
    <row r="533" ht="15.75" customHeight="1">
      <c r="A533" s="26"/>
      <c r="B533" s="26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</row>
    <row r="534" ht="15.75" customHeight="1">
      <c r="A534" s="26"/>
      <c r="B534" s="26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</row>
    <row r="535" ht="15.75" customHeight="1">
      <c r="A535" s="26"/>
      <c r="B535" s="26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</row>
    <row r="536" ht="15.75" customHeight="1">
      <c r="A536" s="26"/>
      <c r="B536" s="26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</row>
    <row r="537" ht="15.75" customHeight="1">
      <c r="A537" s="26"/>
      <c r="B537" s="26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</row>
    <row r="538" ht="15.75" customHeight="1">
      <c r="A538" s="26"/>
      <c r="B538" s="26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</row>
    <row r="539" ht="15.75" customHeight="1">
      <c r="A539" s="26"/>
      <c r="B539" s="26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</row>
    <row r="540" ht="15.75" customHeight="1">
      <c r="A540" s="26"/>
      <c r="B540" s="26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</row>
    <row r="541" ht="15.75" customHeight="1">
      <c r="A541" s="26"/>
      <c r="B541" s="26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</row>
    <row r="542" ht="15.75" customHeight="1">
      <c r="A542" s="26"/>
      <c r="B542" s="26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</row>
    <row r="543" ht="15.75" customHeight="1">
      <c r="A543" s="26"/>
      <c r="B543" s="26"/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</row>
    <row r="544" ht="15.75" customHeight="1">
      <c r="A544" s="26"/>
      <c r="B544" s="26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</row>
    <row r="545" ht="15.75" customHeight="1">
      <c r="A545" s="26"/>
      <c r="B545" s="26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</row>
    <row r="546" ht="15.75" customHeight="1">
      <c r="A546" s="26"/>
      <c r="B546" s="26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</row>
    <row r="547" ht="15.75" customHeight="1">
      <c r="A547" s="26"/>
      <c r="B547" s="26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</row>
    <row r="548" ht="15.75" customHeight="1">
      <c r="A548" s="26"/>
      <c r="B548" s="26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</row>
    <row r="549" ht="15.75" customHeight="1">
      <c r="A549" s="26"/>
      <c r="B549" s="26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</row>
    <row r="550" ht="15.75" customHeight="1">
      <c r="A550" s="26"/>
      <c r="B550" s="26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</row>
    <row r="551" ht="15.75" customHeight="1">
      <c r="A551" s="26"/>
      <c r="B551" s="26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</row>
    <row r="552" ht="15.75" customHeight="1">
      <c r="A552" s="26"/>
      <c r="B552" s="26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</row>
    <row r="553" ht="15.75" customHeight="1">
      <c r="A553" s="26"/>
      <c r="B553" s="26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</row>
    <row r="554" ht="15.75" customHeight="1">
      <c r="A554" s="26"/>
      <c r="B554" s="26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</row>
    <row r="555" ht="15.75" customHeight="1">
      <c r="A555" s="26"/>
      <c r="B555" s="26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</row>
    <row r="556" ht="15.75" customHeight="1">
      <c r="A556" s="26"/>
      <c r="B556" s="26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</row>
    <row r="557" ht="15.75" customHeight="1">
      <c r="A557" s="26"/>
      <c r="B557" s="26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</row>
    <row r="558" ht="15.75" customHeight="1">
      <c r="A558" s="26"/>
      <c r="B558" s="26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</row>
    <row r="559" ht="15.75" customHeight="1">
      <c r="A559" s="26"/>
      <c r="B559" s="26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</row>
    <row r="560" ht="15.75" customHeight="1">
      <c r="A560" s="26"/>
      <c r="B560" s="26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</row>
    <row r="561" ht="15.75" customHeight="1">
      <c r="A561" s="26"/>
      <c r="B561" s="26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</row>
    <row r="562" ht="15.75" customHeight="1">
      <c r="A562" s="26"/>
      <c r="B562" s="26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</row>
    <row r="563" ht="15.75" customHeight="1">
      <c r="A563" s="26"/>
      <c r="B563" s="26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</row>
    <row r="564" ht="15.75" customHeight="1">
      <c r="A564" s="26"/>
      <c r="B564" s="26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</row>
    <row r="565" ht="15.75" customHeight="1">
      <c r="A565" s="26"/>
      <c r="B565" s="26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</row>
    <row r="566" ht="15.75" customHeight="1">
      <c r="A566" s="26"/>
      <c r="B566" s="26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</row>
    <row r="567" ht="15.75" customHeight="1">
      <c r="A567" s="26"/>
      <c r="B567" s="26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</row>
    <row r="568" ht="15.75" customHeight="1">
      <c r="A568" s="26"/>
      <c r="B568" s="26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</row>
    <row r="569" ht="15.75" customHeight="1">
      <c r="A569" s="26"/>
      <c r="B569" s="26"/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</row>
    <row r="570" ht="15.75" customHeight="1">
      <c r="A570" s="26"/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</row>
    <row r="571" ht="15.75" customHeight="1">
      <c r="A571" s="26"/>
      <c r="B571" s="26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</row>
    <row r="572" ht="15.75" customHeight="1">
      <c r="A572" s="26"/>
      <c r="B572" s="26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</row>
    <row r="573" ht="15.75" customHeight="1">
      <c r="A573" s="26"/>
      <c r="B573" s="26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</row>
    <row r="574" ht="15.75" customHeight="1">
      <c r="A574" s="26"/>
      <c r="B574" s="26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</row>
    <row r="575" ht="15.75" customHeight="1">
      <c r="A575" s="26"/>
      <c r="B575" s="26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</row>
    <row r="576" ht="15.75" customHeight="1">
      <c r="A576" s="26"/>
      <c r="B576" s="26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</row>
    <row r="577" ht="15.75" customHeight="1">
      <c r="A577" s="26"/>
      <c r="B577" s="26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</row>
    <row r="578" ht="15.75" customHeight="1">
      <c r="A578" s="26"/>
      <c r="B578" s="26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</row>
    <row r="579" ht="15.75" customHeight="1">
      <c r="A579" s="26"/>
      <c r="B579" s="26"/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</row>
    <row r="580" ht="15.75" customHeight="1">
      <c r="A580" s="26"/>
      <c r="B580" s="26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</row>
    <row r="581" ht="15.75" customHeight="1">
      <c r="A581" s="26"/>
      <c r="B581" s="26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</row>
    <row r="582" ht="15.75" customHeight="1">
      <c r="A582" s="26"/>
      <c r="B582" s="26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</row>
    <row r="583" ht="15.75" customHeight="1">
      <c r="A583" s="26"/>
      <c r="B583" s="26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</row>
    <row r="584" ht="15.75" customHeight="1">
      <c r="A584" s="26"/>
      <c r="B584" s="26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</row>
    <row r="585" ht="15.75" customHeight="1">
      <c r="A585" s="26"/>
      <c r="B585" s="26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</row>
    <row r="586" ht="15.75" customHeight="1">
      <c r="A586" s="26"/>
      <c r="B586" s="26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</row>
    <row r="587" ht="15.75" customHeight="1">
      <c r="A587" s="26"/>
      <c r="B587" s="26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</row>
    <row r="588" ht="15.75" customHeight="1">
      <c r="A588" s="26"/>
      <c r="B588" s="26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</row>
    <row r="589" ht="15.75" customHeight="1">
      <c r="A589" s="26"/>
      <c r="B589" s="26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</row>
    <row r="590" ht="15.75" customHeight="1">
      <c r="A590" s="26"/>
      <c r="B590" s="26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</row>
    <row r="591" ht="15.75" customHeight="1">
      <c r="A591" s="26"/>
      <c r="B591" s="26"/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</row>
    <row r="592" ht="15.75" customHeight="1">
      <c r="A592" s="26"/>
      <c r="B592" s="26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</row>
    <row r="593" ht="15.75" customHeight="1">
      <c r="A593" s="26"/>
      <c r="B593" s="26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</row>
    <row r="594" ht="15.75" customHeight="1">
      <c r="A594" s="26"/>
      <c r="B594" s="26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</row>
    <row r="595" ht="15.75" customHeight="1">
      <c r="A595" s="26"/>
      <c r="B595" s="26"/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</row>
    <row r="596" ht="15.75" customHeight="1">
      <c r="A596" s="26"/>
      <c r="B596" s="26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</row>
    <row r="597" ht="15.75" customHeight="1">
      <c r="A597" s="26"/>
      <c r="B597" s="26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</row>
    <row r="598" ht="15.75" customHeight="1">
      <c r="A598" s="26"/>
      <c r="B598" s="26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</row>
    <row r="599" ht="15.75" customHeight="1">
      <c r="A599" s="26"/>
      <c r="B599" s="26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</row>
    <row r="600" ht="15.75" customHeight="1">
      <c r="A600" s="26"/>
      <c r="B600" s="26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</row>
    <row r="601" ht="15.75" customHeight="1">
      <c r="A601" s="26"/>
      <c r="B601" s="26"/>
      <c r="C601" s="26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</row>
    <row r="602" ht="15.75" customHeight="1">
      <c r="A602" s="26"/>
      <c r="B602" s="26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</row>
    <row r="603" ht="15.75" customHeight="1">
      <c r="A603" s="26"/>
      <c r="B603" s="26"/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</row>
    <row r="604" ht="15.75" customHeight="1">
      <c r="A604" s="26"/>
      <c r="B604" s="26"/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</row>
    <row r="605" ht="15.75" customHeight="1">
      <c r="A605" s="26"/>
      <c r="B605" s="26"/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</row>
    <row r="606" ht="15.75" customHeight="1">
      <c r="A606" s="26"/>
      <c r="B606" s="26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</row>
    <row r="607" ht="15.75" customHeight="1">
      <c r="A607" s="26"/>
      <c r="B607" s="26"/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</row>
    <row r="608" ht="15.75" customHeight="1">
      <c r="A608" s="26"/>
      <c r="B608" s="26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</row>
    <row r="609" ht="15.75" customHeight="1">
      <c r="A609" s="26"/>
      <c r="B609" s="26"/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</row>
    <row r="610" ht="15.75" customHeight="1">
      <c r="A610" s="26"/>
      <c r="B610" s="26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</row>
    <row r="611" ht="15.75" customHeight="1">
      <c r="A611" s="26"/>
      <c r="B611" s="26"/>
      <c r="C611" s="26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</row>
    <row r="612" ht="15.75" customHeight="1">
      <c r="A612" s="26"/>
      <c r="B612" s="26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</row>
    <row r="613" ht="15.75" customHeight="1">
      <c r="A613" s="26"/>
      <c r="B613" s="26"/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</row>
    <row r="614" ht="15.75" customHeight="1">
      <c r="A614" s="26"/>
      <c r="B614" s="26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</row>
    <row r="615" ht="15.75" customHeight="1">
      <c r="A615" s="26"/>
      <c r="B615" s="26"/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</row>
    <row r="616" ht="15.75" customHeight="1">
      <c r="A616" s="26"/>
      <c r="B616" s="26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</row>
    <row r="617" ht="15.75" customHeight="1">
      <c r="A617" s="26"/>
      <c r="B617" s="26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</row>
    <row r="618" ht="15.75" customHeight="1">
      <c r="A618" s="26"/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</row>
    <row r="619" ht="15.75" customHeight="1">
      <c r="A619" s="26"/>
      <c r="B619" s="26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</row>
    <row r="620" ht="15.75" customHeight="1">
      <c r="A620" s="26"/>
      <c r="B620" s="26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</row>
    <row r="621" ht="15.75" customHeight="1">
      <c r="A621" s="26"/>
      <c r="B621" s="26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</row>
    <row r="622" ht="15.75" customHeight="1">
      <c r="A622" s="26"/>
      <c r="B622" s="26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</row>
    <row r="623" ht="15.75" customHeight="1">
      <c r="A623" s="26"/>
      <c r="B623" s="26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</row>
    <row r="624" ht="15.75" customHeight="1">
      <c r="A624" s="26"/>
      <c r="B624" s="26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</row>
    <row r="625" ht="15.75" customHeight="1">
      <c r="A625" s="26"/>
      <c r="B625" s="26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</row>
    <row r="626" ht="15.75" customHeight="1">
      <c r="A626" s="26"/>
      <c r="B626" s="26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</row>
    <row r="627" ht="15.75" customHeight="1">
      <c r="A627" s="26"/>
      <c r="B627" s="26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</row>
    <row r="628" ht="15.75" customHeight="1">
      <c r="A628" s="26"/>
      <c r="B628" s="26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</row>
    <row r="629" ht="15.75" customHeight="1">
      <c r="A629" s="26"/>
      <c r="B629" s="26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</row>
    <row r="630" ht="15.75" customHeight="1">
      <c r="A630" s="26"/>
      <c r="B630" s="26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</row>
    <row r="631" ht="15.75" customHeight="1">
      <c r="A631" s="26"/>
      <c r="B631" s="26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</row>
    <row r="632" ht="15.75" customHeight="1">
      <c r="A632" s="26"/>
      <c r="B632" s="26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</row>
    <row r="633" ht="15.75" customHeight="1">
      <c r="A633" s="26"/>
      <c r="B633" s="26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</row>
    <row r="634" ht="15.75" customHeight="1">
      <c r="A634" s="26"/>
      <c r="B634" s="26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</row>
    <row r="635" ht="15.75" customHeight="1">
      <c r="A635" s="26"/>
      <c r="B635" s="26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</row>
    <row r="636" ht="15.75" customHeight="1">
      <c r="A636" s="26"/>
      <c r="B636" s="26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</row>
    <row r="637" ht="15.75" customHeight="1">
      <c r="A637" s="26"/>
      <c r="B637" s="26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</row>
    <row r="638" ht="15.75" customHeight="1">
      <c r="A638" s="26"/>
      <c r="B638" s="26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</row>
    <row r="639" ht="15.75" customHeight="1">
      <c r="A639" s="26"/>
      <c r="B639" s="26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</row>
    <row r="640" ht="15.75" customHeight="1">
      <c r="A640" s="26"/>
      <c r="B640" s="26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</row>
    <row r="641" ht="15.75" customHeight="1">
      <c r="A641" s="26"/>
      <c r="B641" s="26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</row>
    <row r="642" ht="15.75" customHeight="1">
      <c r="A642" s="26"/>
      <c r="B642" s="26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</row>
    <row r="643" ht="15.75" customHeight="1">
      <c r="A643" s="26"/>
      <c r="B643" s="26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</row>
    <row r="644" ht="15.75" customHeight="1">
      <c r="A644" s="26"/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</row>
    <row r="645" ht="15.75" customHeight="1">
      <c r="A645" s="26"/>
      <c r="B645" s="26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</row>
    <row r="646" ht="15.75" customHeight="1">
      <c r="A646" s="26"/>
      <c r="B646" s="26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</row>
    <row r="647" ht="15.75" customHeight="1">
      <c r="A647" s="26"/>
      <c r="B647" s="26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</row>
    <row r="648" ht="15.75" customHeight="1">
      <c r="A648" s="26"/>
      <c r="B648" s="26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</row>
    <row r="649" ht="15.75" customHeight="1">
      <c r="A649" s="26"/>
      <c r="B649" s="26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</row>
    <row r="650" ht="15.75" customHeight="1">
      <c r="A650" s="26"/>
      <c r="B650" s="26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</row>
    <row r="651" ht="15.75" customHeight="1">
      <c r="A651" s="26"/>
      <c r="B651" s="26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</row>
    <row r="652" ht="15.75" customHeight="1">
      <c r="A652" s="26"/>
      <c r="B652" s="26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</row>
    <row r="653" ht="15.75" customHeight="1">
      <c r="A653" s="26"/>
      <c r="B653" s="26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</row>
    <row r="654" ht="15.75" customHeight="1">
      <c r="A654" s="26"/>
      <c r="B654" s="26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</row>
    <row r="655" ht="15.75" customHeight="1">
      <c r="A655" s="26"/>
      <c r="B655" s="26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</row>
    <row r="656" ht="15.75" customHeight="1">
      <c r="A656" s="26"/>
      <c r="B656" s="26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</row>
    <row r="657" ht="15.75" customHeight="1">
      <c r="A657" s="26"/>
      <c r="B657" s="26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</row>
    <row r="658" ht="15.75" customHeight="1">
      <c r="A658" s="26"/>
      <c r="B658" s="26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</row>
    <row r="659" ht="15.75" customHeight="1">
      <c r="A659" s="26"/>
      <c r="B659" s="26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</row>
    <row r="660" ht="15.75" customHeight="1">
      <c r="A660" s="26"/>
      <c r="B660" s="26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</row>
    <row r="661" ht="15.75" customHeight="1">
      <c r="A661" s="26"/>
      <c r="B661" s="26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</row>
    <row r="662" ht="15.75" customHeight="1">
      <c r="A662" s="26"/>
      <c r="B662" s="26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</row>
    <row r="663" ht="15.75" customHeight="1">
      <c r="A663" s="26"/>
      <c r="B663" s="26"/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</row>
    <row r="664" ht="15.75" customHeight="1">
      <c r="A664" s="26"/>
      <c r="B664" s="26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</row>
    <row r="665" ht="15.75" customHeight="1">
      <c r="A665" s="26"/>
      <c r="B665" s="26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</row>
    <row r="666" ht="15.75" customHeight="1">
      <c r="A666" s="26"/>
      <c r="B666" s="26"/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</row>
    <row r="667" ht="15.75" customHeight="1">
      <c r="A667" s="26"/>
      <c r="B667" s="26"/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</row>
    <row r="668" ht="15.75" customHeight="1">
      <c r="A668" s="26"/>
      <c r="B668" s="26"/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</row>
    <row r="669" ht="15.75" customHeight="1">
      <c r="A669" s="26"/>
      <c r="B669" s="26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</row>
    <row r="670" ht="15.75" customHeight="1">
      <c r="A670" s="26"/>
      <c r="B670" s="26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</row>
    <row r="671" ht="15.75" customHeight="1">
      <c r="A671" s="26"/>
      <c r="B671" s="26"/>
      <c r="C671" s="26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</row>
    <row r="672" ht="15.75" customHeight="1">
      <c r="A672" s="26"/>
      <c r="B672" s="26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</row>
    <row r="673" ht="15.75" customHeight="1">
      <c r="A673" s="26"/>
      <c r="B673" s="26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</row>
    <row r="674" ht="15.75" customHeight="1">
      <c r="A674" s="26"/>
      <c r="B674" s="26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</row>
    <row r="675" ht="15.75" customHeight="1">
      <c r="A675" s="26"/>
      <c r="B675" s="26"/>
      <c r="C675" s="26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</row>
    <row r="676" ht="15.75" customHeight="1">
      <c r="A676" s="26"/>
      <c r="B676" s="26"/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</row>
    <row r="677" ht="15.75" customHeight="1">
      <c r="A677" s="26"/>
      <c r="B677" s="26"/>
      <c r="C677" s="26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</row>
    <row r="678" ht="15.75" customHeight="1">
      <c r="A678" s="26"/>
      <c r="B678" s="26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</row>
    <row r="679" ht="15.75" customHeight="1">
      <c r="A679" s="26"/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</row>
    <row r="680" ht="15.75" customHeight="1">
      <c r="A680" s="26"/>
      <c r="B680" s="26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</row>
    <row r="681" ht="15.75" customHeight="1">
      <c r="A681" s="26"/>
      <c r="B681" s="26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</row>
    <row r="682" ht="15.75" customHeight="1">
      <c r="A682" s="26"/>
      <c r="B682" s="26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</row>
    <row r="683" ht="15.75" customHeight="1">
      <c r="A683" s="26"/>
      <c r="B683" s="26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</row>
    <row r="684" ht="15.75" customHeight="1">
      <c r="A684" s="26"/>
      <c r="B684" s="26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</row>
    <row r="685" ht="15.75" customHeight="1">
      <c r="A685" s="26"/>
      <c r="B685" s="26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</row>
    <row r="686" ht="15.75" customHeight="1">
      <c r="A686" s="26"/>
      <c r="B686" s="26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</row>
    <row r="687" ht="15.75" customHeight="1">
      <c r="A687" s="26"/>
      <c r="B687" s="26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</row>
    <row r="688" ht="15.75" customHeight="1">
      <c r="A688" s="26"/>
      <c r="B688" s="26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</row>
    <row r="689" ht="15.75" customHeight="1">
      <c r="A689" s="26"/>
      <c r="B689" s="26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</row>
    <row r="690" ht="15.75" customHeight="1">
      <c r="A690" s="26"/>
      <c r="B690" s="26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</row>
    <row r="691" ht="15.75" customHeight="1">
      <c r="A691" s="26"/>
      <c r="B691" s="26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</row>
    <row r="692" ht="15.75" customHeight="1">
      <c r="A692" s="26"/>
      <c r="B692" s="26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</row>
    <row r="693" ht="15.75" customHeight="1">
      <c r="A693" s="26"/>
      <c r="B693" s="26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</row>
    <row r="694" ht="15.75" customHeight="1">
      <c r="A694" s="26"/>
      <c r="B694" s="26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</row>
    <row r="695" ht="15.75" customHeight="1">
      <c r="A695" s="26"/>
      <c r="B695" s="26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</row>
    <row r="696" ht="15.75" customHeight="1">
      <c r="A696" s="26"/>
      <c r="B696" s="26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</row>
    <row r="697" ht="15.75" customHeight="1">
      <c r="A697" s="26"/>
      <c r="B697" s="26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</row>
    <row r="698" ht="15.75" customHeight="1">
      <c r="A698" s="26"/>
      <c r="B698" s="26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</row>
    <row r="699" ht="15.75" customHeight="1">
      <c r="A699" s="26"/>
      <c r="B699" s="26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</row>
    <row r="700" ht="15.75" customHeight="1">
      <c r="A700" s="26"/>
      <c r="B700" s="26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</row>
    <row r="701" ht="15.75" customHeight="1">
      <c r="A701" s="26"/>
      <c r="B701" s="26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</row>
    <row r="702" ht="15.75" customHeight="1">
      <c r="A702" s="26"/>
      <c r="B702" s="26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</row>
    <row r="703" ht="15.75" customHeight="1">
      <c r="A703" s="26"/>
      <c r="B703" s="26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</row>
    <row r="704" ht="15.75" customHeight="1">
      <c r="A704" s="26"/>
      <c r="B704" s="26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</row>
    <row r="705" ht="15.75" customHeight="1">
      <c r="A705" s="26"/>
      <c r="B705" s="26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</row>
    <row r="706" ht="15.75" customHeight="1">
      <c r="A706" s="26"/>
      <c r="B706" s="26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</row>
    <row r="707" ht="15.75" customHeight="1">
      <c r="A707" s="26"/>
      <c r="B707" s="26"/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</row>
    <row r="708" ht="15.75" customHeight="1">
      <c r="A708" s="26"/>
      <c r="B708" s="26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</row>
    <row r="709" ht="15.75" customHeight="1">
      <c r="A709" s="26"/>
      <c r="B709" s="26"/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</row>
    <row r="710" ht="15.75" customHeight="1">
      <c r="A710" s="26"/>
      <c r="B710" s="26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</row>
    <row r="711" ht="15.75" customHeight="1">
      <c r="A711" s="26"/>
      <c r="B711" s="26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</row>
    <row r="712" ht="15.75" customHeight="1">
      <c r="A712" s="26"/>
      <c r="B712" s="26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</row>
    <row r="713" ht="15.75" customHeight="1">
      <c r="A713" s="26"/>
      <c r="B713" s="26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</row>
    <row r="714" ht="15.75" customHeight="1">
      <c r="A714" s="26"/>
      <c r="B714" s="26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</row>
    <row r="715" ht="15.75" customHeight="1">
      <c r="A715" s="26"/>
      <c r="B715" s="26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</row>
    <row r="716" ht="15.75" customHeight="1">
      <c r="A716" s="26"/>
      <c r="B716" s="26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</row>
    <row r="717" ht="15.75" customHeight="1">
      <c r="A717" s="26"/>
      <c r="B717" s="26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</row>
    <row r="718" ht="15.75" customHeight="1">
      <c r="A718" s="26"/>
      <c r="B718" s="26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</row>
    <row r="719" ht="15.75" customHeight="1">
      <c r="A719" s="26"/>
      <c r="B719" s="26"/>
      <c r="C719" s="26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</row>
    <row r="720" ht="15.75" customHeight="1">
      <c r="A720" s="26"/>
      <c r="B720" s="26"/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</row>
    <row r="721" ht="15.75" customHeight="1">
      <c r="A721" s="26"/>
      <c r="B721" s="26"/>
      <c r="C721" s="26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</row>
    <row r="722" ht="15.75" customHeight="1">
      <c r="A722" s="26"/>
      <c r="B722" s="26"/>
      <c r="C722" s="26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</row>
    <row r="723" ht="15.75" customHeight="1">
      <c r="A723" s="26"/>
      <c r="B723" s="26"/>
      <c r="C723" s="26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</row>
    <row r="724" ht="15.75" customHeight="1">
      <c r="A724" s="26"/>
      <c r="B724" s="26"/>
      <c r="C724" s="26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</row>
    <row r="725" ht="15.75" customHeight="1">
      <c r="A725" s="26"/>
      <c r="B725" s="26"/>
      <c r="C725" s="26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</row>
    <row r="726" ht="15.75" customHeight="1">
      <c r="A726" s="26"/>
      <c r="B726" s="26"/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</row>
    <row r="727" ht="15.75" customHeight="1">
      <c r="A727" s="26"/>
      <c r="B727" s="26"/>
      <c r="C727" s="26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</row>
    <row r="728" ht="15.75" customHeight="1">
      <c r="A728" s="26"/>
      <c r="B728" s="26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</row>
    <row r="729" ht="15.75" customHeight="1">
      <c r="A729" s="26"/>
      <c r="B729" s="26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</row>
    <row r="730" ht="15.75" customHeight="1">
      <c r="A730" s="26"/>
      <c r="B730" s="26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</row>
    <row r="731" ht="15.75" customHeight="1">
      <c r="A731" s="26"/>
      <c r="B731" s="26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</row>
    <row r="732" ht="15.75" customHeight="1">
      <c r="A732" s="26"/>
      <c r="B732" s="26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</row>
    <row r="733" ht="15.75" customHeight="1">
      <c r="A733" s="26"/>
      <c r="B733" s="26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</row>
    <row r="734" ht="15.75" customHeight="1">
      <c r="A734" s="26"/>
      <c r="B734" s="26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</row>
    <row r="735" ht="15.75" customHeight="1">
      <c r="A735" s="26"/>
      <c r="B735" s="26"/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</row>
    <row r="736" ht="15.75" customHeight="1">
      <c r="A736" s="26"/>
      <c r="B736" s="26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</row>
    <row r="737" ht="15.75" customHeight="1">
      <c r="A737" s="26"/>
      <c r="B737" s="26"/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</row>
    <row r="738" ht="15.75" customHeight="1">
      <c r="A738" s="26"/>
      <c r="B738" s="26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</row>
    <row r="739" ht="15.75" customHeight="1">
      <c r="A739" s="26"/>
      <c r="B739" s="26"/>
      <c r="C739" s="26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</row>
    <row r="740" ht="15.75" customHeight="1">
      <c r="A740" s="26"/>
      <c r="B740" s="26"/>
      <c r="C740" s="26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</row>
    <row r="741" ht="15.75" customHeight="1">
      <c r="A741" s="26"/>
      <c r="B741" s="26"/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</row>
    <row r="742" ht="15.75" customHeight="1">
      <c r="A742" s="26"/>
      <c r="B742" s="26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</row>
    <row r="743" ht="15.75" customHeight="1">
      <c r="A743" s="26"/>
      <c r="B743" s="26"/>
      <c r="C743" s="26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</row>
    <row r="744" ht="15.75" customHeight="1">
      <c r="A744" s="26"/>
      <c r="B744" s="26"/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</row>
    <row r="745" ht="15.75" customHeight="1">
      <c r="A745" s="26"/>
      <c r="B745" s="26"/>
      <c r="C745" s="26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</row>
    <row r="746" ht="15.75" customHeight="1">
      <c r="A746" s="26"/>
      <c r="B746" s="26"/>
      <c r="C746" s="26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</row>
    <row r="747" ht="15.75" customHeight="1">
      <c r="A747" s="26"/>
      <c r="B747" s="26"/>
      <c r="C747" s="26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</row>
    <row r="748" ht="15.75" customHeight="1">
      <c r="A748" s="26"/>
      <c r="B748" s="26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</row>
    <row r="749" ht="15.75" customHeight="1">
      <c r="A749" s="26"/>
      <c r="B749" s="26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</row>
    <row r="750" ht="15.75" customHeight="1">
      <c r="A750" s="26"/>
      <c r="B750" s="26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</row>
    <row r="751" ht="15.75" customHeight="1">
      <c r="A751" s="26"/>
      <c r="B751" s="26"/>
      <c r="C751" s="26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</row>
    <row r="752" ht="15.75" customHeight="1">
      <c r="A752" s="26"/>
      <c r="B752" s="26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</row>
    <row r="753" ht="15.75" customHeight="1">
      <c r="A753" s="26"/>
      <c r="B753" s="26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</row>
    <row r="754" ht="15.75" customHeight="1">
      <c r="A754" s="26"/>
      <c r="B754" s="26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</row>
    <row r="755" ht="15.75" customHeight="1">
      <c r="A755" s="26"/>
      <c r="B755" s="26"/>
      <c r="C755" s="26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</row>
    <row r="756" ht="15.75" customHeight="1">
      <c r="A756" s="26"/>
      <c r="B756" s="26"/>
      <c r="C756" s="26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</row>
    <row r="757" ht="15.75" customHeight="1">
      <c r="A757" s="26"/>
      <c r="B757" s="26"/>
      <c r="C757" s="26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</row>
    <row r="758" ht="15.75" customHeight="1">
      <c r="A758" s="26"/>
      <c r="B758" s="26"/>
      <c r="C758" s="26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</row>
    <row r="759" ht="15.75" customHeight="1">
      <c r="A759" s="26"/>
      <c r="B759" s="26"/>
      <c r="C759" s="26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</row>
    <row r="760" ht="15.75" customHeight="1">
      <c r="A760" s="26"/>
      <c r="B760" s="26"/>
      <c r="C760" s="26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</row>
    <row r="761" ht="15.75" customHeight="1">
      <c r="A761" s="26"/>
      <c r="B761" s="26"/>
      <c r="C761" s="26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</row>
    <row r="762" ht="15.75" customHeight="1">
      <c r="A762" s="26"/>
      <c r="B762" s="26"/>
      <c r="C762" s="26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</row>
    <row r="763" ht="15.75" customHeight="1">
      <c r="A763" s="26"/>
      <c r="B763" s="26"/>
      <c r="C763" s="26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</row>
    <row r="764" ht="15.75" customHeight="1">
      <c r="A764" s="26"/>
      <c r="B764" s="26"/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</row>
    <row r="765" ht="15.75" customHeight="1">
      <c r="A765" s="26"/>
      <c r="B765" s="26"/>
      <c r="C765" s="26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</row>
    <row r="766" ht="15.75" customHeight="1">
      <c r="A766" s="26"/>
      <c r="B766" s="26"/>
      <c r="C766" s="26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</row>
    <row r="767" ht="15.75" customHeight="1">
      <c r="A767" s="26"/>
      <c r="B767" s="26"/>
      <c r="C767" s="26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</row>
    <row r="768" ht="15.75" customHeight="1">
      <c r="A768" s="26"/>
      <c r="B768" s="26"/>
      <c r="C768" s="26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</row>
    <row r="769" ht="15.75" customHeight="1">
      <c r="A769" s="26"/>
      <c r="B769" s="26"/>
      <c r="C769" s="26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</row>
    <row r="770" ht="15.75" customHeight="1">
      <c r="A770" s="26"/>
      <c r="B770" s="26"/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</row>
    <row r="771" ht="15.75" customHeight="1">
      <c r="A771" s="26"/>
      <c r="B771" s="26"/>
      <c r="C771" s="26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</row>
    <row r="772" ht="15.75" customHeight="1">
      <c r="A772" s="26"/>
      <c r="B772" s="26"/>
      <c r="C772" s="26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</row>
    <row r="773" ht="15.75" customHeight="1">
      <c r="A773" s="26"/>
      <c r="B773" s="26"/>
      <c r="C773" s="26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</row>
    <row r="774" ht="15.75" customHeight="1">
      <c r="A774" s="26"/>
      <c r="B774" s="26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</row>
    <row r="775" ht="15.75" customHeight="1">
      <c r="A775" s="26"/>
      <c r="B775" s="26"/>
      <c r="C775" s="26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</row>
    <row r="776" ht="15.75" customHeight="1">
      <c r="A776" s="26"/>
      <c r="B776" s="26"/>
      <c r="C776" s="26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</row>
    <row r="777" ht="15.75" customHeight="1">
      <c r="A777" s="26"/>
      <c r="B777" s="26"/>
      <c r="C777" s="26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</row>
    <row r="778" ht="15.75" customHeight="1">
      <c r="A778" s="26"/>
      <c r="B778" s="26"/>
      <c r="C778" s="26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</row>
    <row r="779" ht="15.75" customHeight="1">
      <c r="A779" s="26"/>
      <c r="B779" s="26"/>
      <c r="C779" s="26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</row>
    <row r="780" ht="15.75" customHeight="1">
      <c r="A780" s="26"/>
      <c r="B780" s="26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</row>
    <row r="781" ht="15.75" customHeight="1">
      <c r="A781" s="26"/>
      <c r="B781" s="26"/>
      <c r="C781" s="26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</row>
    <row r="782" ht="15.75" customHeight="1">
      <c r="A782" s="26"/>
      <c r="B782" s="26"/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</row>
    <row r="783" ht="15.75" customHeight="1">
      <c r="A783" s="26"/>
      <c r="B783" s="26"/>
      <c r="C783" s="26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</row>
    <row r="784" ht="15.75" customHeight="1">
      <c r="A784" s="26"/>
      <c r="B784" s="26"/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</row>
    <row r="785" ht="15.75" customHeight="1">
      <c r="A785" s="26"/>
      <c r="B785" s="26"/>
      <c r="C785" s="26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</row>
    <row r="786" ht="15.75" customHeight="1">
      <c r="A786" s="26"/>
      <c r="B786" s="26"/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</row>
    <row r="787" ht="15.75" customHeight="1">
      <c r="A787" s="26"/>
      <c r="B787" s="26"/>
      <c r="C787" s="26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</row>
    <row r="788" ht="15.75" customHeight="1">
      <c r="A788" s="26"/>
      <c r="B788" s="26"/>
      <c r="C788" s="26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</row>
    <row r="789" ht="15.75" customHeight="1">
      <c r="A789" s="26"/>
      <c r="B789" s="26"/>
      <c r="C789" s="26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</row>
    <row r="790" ht="15.75" customHeight="1">
      <c r="A790" s="26"/>
      <c r="B790" s="26"/>
      <c r="C790" s="26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</row>
    <row r="791" ht="15.75" customHeight="1">
      <c r="A791" s="26"/>
      <c r="B791" s="26"/>
      <c r="C791" s="26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</row>
    <row r="792" ht="15.75" customHeight="1">
      <c r="A792" s="26"/>
      <c r="B792" s="26"/>
      <c r="C792" s="26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</row>
    <row r="793" ht="15.75" customHeight="1">
      <c r="A793" s="26"/>
      <c r="B793" s="26"/>
      <c r="C793" s="26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</row>
    <row r="794" ht="15.75" customHeight="1">
      <c r="A794" s="26"/>
      <c r="B794" s="26"/>
      <c r="C794" s="26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</row>
    <row r="795" ht="15.75" customHeight="1">
      <c r="A795" s="26"/>
      <c r="B795" s="26"/>
      <c r="C795" s="26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</row>
    <row r="796" ht="15.75" customHeight="1">
      <c r="A796" s="26"/>
      <c r="B796" s="26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</row>
    <row r="797" ht="15.75" customHeight="1">
      <c r="A797" s="26"/>
      <c r="B797" s="26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</row>
    <row r="798" ht="15.75" customHeight="1">
      <c r="A798" s="26"/>
      <c r="B798" s="26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</row>
    <row r="799" ht="15.75" customHeight="1">
      <c r="A799" s="26"/>
      <c r="B799" s="26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</row>
    <row r="800" ht="15.75" customHeight="1">
      <c r="A800" s="26"/>
      <c r="B800" s="26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</row>
    <row r="801" ht="15.75" customHeight="1">
      <c r="A801" s="26"/>
      <c r="B801" s="26"/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</row>
    <row r="802" ht="15.75" customHeight="1">
      <c r="A802" s="26"/>
      <c r="B802" s="26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</row>
    <row r="803" ht="15.75" customHeight="1">
      <c r="A803" s="26"/>
      <c r="B803" s="26"/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</row>
    <row r="804" ht="15.75" customHeight="1">
      <c r="A804" s="26"/>
      <c r="B804" s="26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</row>
    <row r="805" ht="15.75" customHeight="1">
      <c r="A805" s="26"/>
      <c r="B805" s="26"/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</row>
    <row r="806" ht="15.75" customHeight="1">
      <c r="A806" s="26"/>
      <c r="B806" s="26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</row>
    <row r="807" ht="15.75" customHeight="1">
      <c r="A807" s="26"/>
      <c r="B807" s="26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</row>
    <row r="808" ht="15.75" customHeight="1">
      <c r="A808" s="26"/>
      <c r="B808" s="26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</row>
    <row r="809" ht="15.75" customHeight="1">
      <c r="A809" s="26"/>
      <c r="B809" s="26"/>
      <c r="C809" s="26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</row>
    <row r="810" ht="15.75" customHeight="1">
      <c r="A810" s="26"/>
      <c r="B810" s="26"/>
      <c r="C810" s="26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</row>
    <row r="811" ht="15.75" customHeight="1">
      <c r="A811" s="26"/>
      <c r="B811" s="26"/>
      <c r="C811" s="26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</row>
    <row r="812" ht="15.75" customHeight="1">
      <c r="A812" s="26"/>
      <c r="B812" s="26"/>
      <c r="C812" s="26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</row>
    <row r="813" ht="15.75" customHeight="1">
      <c r="A813" s="26"/>
      <c r="B813" s="26"/>
      <c r="C813" s="26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</row>
    <row r="814" ht="15.75" customHeight="1">
      <c r="A814" s="26"/>
      <c r="B814" s="26"/>
      <c r="C814" s="26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</row>
    <row r="815" ht="15.75" customHeight="1">
      <c r="A815" s="26"/>
      <c r="B815" s="26"/>
      <c r="C815" s="26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</row>
    <row r="816" ht="15.75" customHeight="1">
      <c r="A816" s="26"/>
      <c r="B816" s="26"/>
      <c r="C816" s="26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</row>
    <row r="817" ht="15.75" customHeight="1">
      <c r="A817" s="26"/>
      <c r="B817" s="26"/>
      <c r="C817" s="26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</row>
    <row r="818" ht="15.75" customHeight="1">
      <c r="A818" s="26"/>
      <c r="B818" s="26"/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</row>
    <row r="819" ht="15.75" customHeight="1">
      <c r="A819" s="26"/>
      <c r="B819" s="26"/>
      <c r="C819" s="26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</row>
    <row r="820" ht="15.75" customHeight="1">
      <c r="A820" s="26"/>
      <c r="B820" s="26"/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</row>
    <row r="821" ht="15.75" customHeight="1">
      <c r="A821" s="26"/>
      <c r="B821" s="26"/>
      <c r="C821" s="26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</row>
    <row r="822" ht="15.75" customHeight="1">
      <c r="A822" s="26"/>
      <c r="B822" s="26"/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</row>
    <row r="823" ht="15.75" customHeight="1">
      <c r="A823" s="26"/>
      <c r="B823" s="26"/>
      <c r="C823" s="26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</row>
    <row r="824" ht="15.75" customHeight="1">
      <c r="A824" s="26"/>
      <c r="B824" s="26"/>
      <c r="C824" s="26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</row>
    <row r="825" ht="15.75" customHeight="1">
      <c r="A825" s="26"/>
      <c r="B825" s="26"/>
      <c r="C825" s="26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</row>
    <row r="826" ht="15.75" customHeight="1">
      <c r="A826" s="26"/>
      <c r="B826" s="26"/>
      <c r="C826" s="26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</row>
    <row r="827" ht="15.75" customHeight="1">
      <c r="A827" s="26"/>
      <c r="B827" s="26"/>
      <c r="C827" s="26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</row>
    <row r="828" ht="15.75" customHeight="1">
      <c r="A828" s="26"/>
      <c r="B828" s="26"/>
      <c r="C828" s="26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</row>
    <row r="829" ht="15.75" customHeight="1">
      <c r="A829" s="26"/>
      <c r="B829" s="26"/>
      <c r="C829" s="26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</row>
    <row r="830" ht="15.75" customHeight="1">
      <c r="A830" s="26"/>
      <c r="B830" s="26"/>
      <c r="C830" s="26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</row>
    <row r="831" ht="15.75" customHeight="1">
      <c r="A831" s="26"/>
      <c r="B831" s="26"/>
      <c r="C831" s="26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</row>
    <row r="832" ht="15.75" customHeight="1">
      <c r="A832" s="26"/>
      <c r="B832" s="26"/>
      <c r="C832" s="26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</row>
    <row r="833" ht="15.75" customHeight="1">
      <c r="A833" s="26"/>
      <c r="B833" s="26"/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</row>
    <row r="834" ht="15.75" customHeight="1">
      <c r="A834" s="26"/>
      <c r="B834" s="26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</row>
    <row r="835" ht="15.75" customHeight="1">
      <c r="A835" s="26"/>
      <c r="B835" s="26"/>
      <c r="C835" s="26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</row>
    <row r="836" ht="15.75" customHeight="1">
      <c r="A836" s="26"/>
      <c r="B836" s="26"/>
      <c r="C836" s="26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</row>
    <row r="837" ht="15.75" customHeight="1">
      <c r="A837" s="26"/>
      <c r="B837" s="26"/>
      <c r="C837" s="26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</row>
    <row r="838" ht="15.75" customHeight="1">
      <c r="A838" s="26"/>
      <c r="B838" s="26"/>
      <c r="C838" s="26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</row>
    <row r="839" ht="15.75" customHeight="1">
      <c r="A839" s="26"/>
      <c r="B839" s="26"/>
      <c r="C839" s="26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</row>
    <row r="840" ht="15.75" customHeight="1">
      <c r="A840" s="26"/>
      <c r="B840" s="26"/>
      <c r="C840" s="26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</row>
    <row r="841" ht="15.75" customHeight="1">
      <c r="A841" s="26"/>
      <c r="B841" s="26"/>
      <c r="C841" s="26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</row>
    <row r="842" ht="15.75" customHeight="1">
      <c r="A842" s="26"/>
      <c r="B842" s="26"/>
      <c r="C842" s="26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</row>
    <row r="843" ht="15.75" customHeight="1">
      <c r="A843" s="26"/>
      <c r="B843" s="26"/>
      <c r="C843" s="26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</row>
    <row r="844" ht="15.75" customHeight="1">
      <c r="A844" s="26"/>
      <c r="B844" s="26"/>
      <c r="C844" s="26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</row>
    <row r="845" ht="15.75" customHeight="1">
      <c r="A845" s="26"/>
      <c r="B845" s="26"/>
      <c r="C845" s="26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</row>
    <row r="846" ht="15.75" customHeight="1">
      <c r="A846" s="26"/>
      <c r="B846" s="26"/>
      <c r="C846" s="26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</row>
    <row r="847" ht="15.75" customHeight="1">
      <c r="A847" s="26"/>
      <c r="B847" s="26"/>
      <c r="C847" s="26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</row>
    <row r="848" ht="15.75" customHeight="1">
      <c r="A848" s="26"/>
      <c r="B848" s="26"/>
      <c r="C848" s="26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</row>
    <row r="849" ht="15.75" customHeight="1">
      <c r="A849" s="26"/>
      <c r="B849" s="26"/>
      <c r="C849" s="26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</row>
    <row r="850" ht="15.75" customHeight="1">
      <c r="A850" s="26"/>
      <c r="B850" s="26"/>
      <c r="C850" s="26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</row>
    <row r="851" ht="15.75" customHeight="1">
      <c r="A851" s="26"/>
      <c r="B851" s="26"/>
      <c r="C851" s="26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</row>
    <row r="852" ht="15.75" customHeight="1">
      <c r="A852" s="26"/>
      <c r="B852" s="26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</row>
    <row r="853" ht="15.75" customHeight="1">
      <c r="A853" s="26"/>
      <c r="B853" s="26"/>
      <c r="C853" s="26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</row>
    <row r="854" ht="15.75" customHeight="1">
      <c r="A854" s="26"/>
      <c r="B854" s="26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</row>
    <row r="855" ht="15.75" customHeight="1">
      <c r="A855" s="26"/>
      <c r="B855" s="26"/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</row>
    <row r="856" ht="15.75" customHeight="1">
      <c r="A856" s="26"/>
      <c r="B856" s="26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</row>
    <row r="857" ht="15.75" customHeight="1">
      <c r="A857" s="26"/>
      <c r="B857" s="26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</row>
    <row r="858" ht="15.75" customHeight="1">
      <c r="A858" s="26"/>
      <c r="B858" s="26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</row>
    <row r="859" ht="15.75" customHeight="1">
      <c r="A859" s="26"/>
      <c r="B859" s="26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</row>
    <row r="860" ht="15.75" customHeight="1">
      <c r="A860" s="26"/>
      <c r="B860" s="26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</row>
    <row r="861" ht="15.75" customHeight="1">
      <c r="A861" s="26"/>
      <c r="B861" s="26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</row>
    <row r="862" ht="15.75" customHeight="1">
      <c r="A862" s="26"/>
      <c r="B862" s="26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</row>
    <row r="863" ht="15.75" customHeight="1">
      <c r="A863" s="26"/>
      <c r="B863" s="26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</row>
    <row r="864" ht="15.75" customHeight="1">
      <c r="A864" s="26"/>
      <c r="B864" s="26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</row>
    <row r="865" ht="15.75" customHeight="1">
      <c r="A865" s="26"/>
      <c r="B865" s="26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</row>
    <row r="866" ht="15.75" customHeight="1">
      <c r="A866" s="26"/>
      <c r="B866" s="26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</row>
    <row r="867" ht="15.75" customHeight="1">
      <c r="A867" s="26"/>
      <c r="B867" s="26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</row>
    <row r="868" ht="15.75" customHeight="1">
      <c r="A868" s="26"/>
      <c r="B868" s="26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</row>
    <row r="869" ht="15.75" customHeight="1">
      <c r="A869" s="26"/>
      <c r="B869" s="26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</row>
    <row r="870" ht="15.75" customHeight="1">
      <c r="A870" s="26"/>
      <c r="B870" s="26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</row>
    <row r="871" ht="15.75" customHeight="1">
      <c r="A871" s="26"/>
      <c r="B871" s="26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</row>
    <row r="872" ht="15.75" customHeight="1">
      <c r="A872" s="26"/>
      <c r="B872" s="26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</row>
    <row r="873" ht="15.75" customHeight="1">
      <c r="A873" s="26"/>
      <c r="B873" s="26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</row>
    <row r="874" ht="15.75" customHeight="1">
      <c r="A874" s="26"/>
      <c r="B874" s="26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</row>
    <row r="875" ht="15.75" customHeight="1">
      <c r="A875" s="26"/>
      <c r="B875" s="26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</row>
    <row r="876" ht="15.75" customHeight="1">
      <c r="A876" s="26"/>
      <c r="B876" s="26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</row>
    <row r="877" ht="15.75" customHeight="1">
      <c r="A877" s="26"/>
      <c r="B877" s="26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</row>
    <row r="878" ht="15.75" customHeight="1">
      <c r="A878" s="26"/>
      <c r="B878" s="26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</row>
    <row r="879" ht="15.75" customHeight="1">
      <c r="A879" s="26"/>
      <c r="B879" s="26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</row>
    <row r="880" ht="15.75" customHeight="1">
      <c r="A880" s="26"/>
      <c r="B880" s="26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</row>
    <row r="881" ht="15.75" customHeight="1">
      <c r="A881" s="26"/>
      <c r="B881" s="26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</row>
    <row r="882" ht="15.75" customHeight="1">
      <c r="A882" s="26"/>
      <c r="B882" s="26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</row>
    <row r="883" ht="15.75" customHeight="1">
      <c r="A883" s="26"/>
      <c r="B883" s="26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</row>
    <row r="884" ht="15.75" customHeight="1">
      <c r="A884" s="26"/>
      <c r="B884" s="26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</row>
    <row r="885" ht="15.75" customHeight="1">
      <c r="A885" s="26"/>
      <c r="B885" s="26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</row>
    <row r="886" ht="15.75" customHeight="1">
      <c r="A886" s="26"/>
      <c r="B886" s="26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</row>
    <row r="887" ht="15.75" customHeight="1">
      <c r="A887" s="26"/>
      <c r="B887" s="26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</row>
    <row r="888" ht="15.75" customHeight="1">
      <c r="A888" s="26"/>
      <c r="B888" s="26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</row>
    <row r="889" ht="15.75" customHeight="1">
      <c r="A889" s="26"/>
      <c r="B889" s="26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</row>
    <row r="890" ht="15.75" customHeight="1">
      <c r="A890" s="26"/>
      <c r="B890" s="26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</row>
    <row r="891" ht="15.75" customHeight="1">
      <c r="A891" s="26"/>
      <c r="B891" s="26"/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</row>
    <row r="892" ht="15.75" customHeight="1">
      <c r="A892" s="26"/>
      <c r="B892" s="26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</row>
    <row r="893" ht="15.75" customHeight="1">
      <c r="A893" s="26"/>
      <c r="B893" s="26"/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</row>
    <row r="894" ht="15.75" customHeight="1">
      <c r="A894" s="26"/>
      <c r="B894" s="26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</row>
    <row r="895" ht="15.75" customHeight="1">
      <c r="A895" s="26"/>
      <c r="B895" s="26"/>
      <c r="C895" s="26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</row>
    <row r="896" ht="15.75" customHeight="1">
      <c r="A896" s="26"/>
      <c r="B896" s="26"/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</row>
    <row r="897" ht="15.75" customHeight="1">
      <c r="A897" s="26"/>
      <c r="B897" s="26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</row>
    <row r="898" ht="15.75" customHeight="1">
      <c r="A898" s="26"/>
      <c r="B898" s="26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</row>
    <row r="899" ht="15.75" customHeight="1">
      <c r="A899" s="26"/>
      <c r="B899" s="26"/>
      <c r="C899" s="26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</row>
    <row r="900" ht="15.75" customHeight="1">
      <c r="A900" s="26"/>
      <c r="B900" s="26"/>
      <c r="C900" s="26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</row>
    <row r="901" ht="15.75" customHeight="1">
      <c r="A901" s="26"/>
      <c r="B901" s="26"/>
      <c r="C901" s="26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</row>
    <row r="902" ht="15.75" customHeight="1">
      <c r="A902" s="26"/>
      <c r="B902" s="26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</row>
    <row r="903" ht="15.75" customHeight="1">
      <c r="A903" s="26"/>
      <c r="B903" s="26"/>
      <c r="C903" s="26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</row>
    <row r="904" ht="15.75" customHeight="1">
      <c r="A904" s="26"/>
      <c r="B904" s="26"/>
      <c r="C904" s="26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</row>
    <row r="905" ht="15.75" customHeight="1">
      <c r="A905" s="26"/>
      <c r="B905" s="26"/>
      <c r="C905" s="26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</row>
    <row r="906" ht="15.75" customHeight="1">
      <c r="A906" s="26"/>
      <c r="B906" s="26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</row>
    <row r="907" ht="15.75" customHeight="1">
      <c r="A907" s="26"/>
      <c r="B907" s="26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</row>
    <row r="908" ht="15.75" customHeight="1">
      <c r="A908" s="26"/>
      <c r="B908" s="26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</row>
    <row r="909" ht="15.75" customHeight="1">
      <c r="A909" s="26"/>
      <c r="B909" s="26"/>
      <c r="C909" s="26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</row>
    <row r="910" ht="15.75" customHeight="1">
      <c r="A910" s="26"/>
      <c r="B910" s="26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</row>
    <row r="911" ht="15.75" customHeight="1">
      <c r="A911" s="26"/>
      <c r="B911" s="26"/>
      <c r="C911" s="26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</row>
    <row r="912" ht="15.75" customHeight="1">
      <c r="A912" s="26"/>
      <c r="B912" s="26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</row>
    <row r="913" ht="15.75" customHeight="1">
      <c r="A913" s="26"/>
      <c r="B913" s="26"/>
      <c r="C913" s="26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</row>
    <row r="914" ht="15.75" customHeight="1">
      <c r="A914" s="26"/>
      <c r="B914" s="26"/>
      <c r="C914" s="26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</row>
    <row r="915" ht="15.75" customHeight="1">
      <c r="A915" s="26"/>
      <c r="B915" s="26"/>
      <c r="C915" s="26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</row>
    <row r="916" ht="15.75" customHeight="1">
      <c r="A916" s="26"/>
      <c r="B916" s="26"/>
      <c r="C916" s="26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</row>
    <row r="917" ht="15.75" customHeight="1">
      <c r="A917" s="26"/>
      <c r="B917" s="26"/>
      <c r="C917" s="26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</row>
    <row r="918" ht="15.75" customHeight="1">
      <c r="A918" s="26"/>
      <c r="B918" s="26"/>
      <c r="C918" s="26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</row>
    <row r="919" ht="15.75" customHeight="1">
      <c r="A919" s="26"/>
      <c r="B919" s="26"/>
      <c r="C919" s="26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</row>
    <row r="920" ht="15.75" customHeight="1">
      <c r="A920" s="26"/>
      <c r="B920" s="26"/>
      <c r="C920" s="26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</row>
    <row r="921" ht="15.75" customHeight="1">
      <c r="A921" s="26"/>
      <c r="B921" s="26"/>
      <c r="C921" s="26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</row>
    <row r="922" ht="15.75" customHeight="1">
      <c r="A922" s="26"/>
      <c r="B922" s="26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</row>
    <row r="923" ht="15.75" customHeight="1">
      <c r="A923" s="26"/>
      <c r="B923" s="26"/>
      <c r="C923" s="26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</row>
    <row r="924" ht="15.75" customHeight="1">
      <c r="A924" s="26"/>
      <c r="B924" s="26"/>
      <c r="C924" s="26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</row>
    <row r="925" ht="15.75" customHeight="1">
      <c r="A925" s="26"/>
      <c r="B925" s="26"/>
      <c r="C925" s="26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</row>
    <row r="926" ht="15.75" customHeight="1">
      <c r="A926" s="26"/>
      <c r="B926" s="26"/>
      <c r="C926" s="26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</row>
    <row r="927" ht="15.75" customHeight="1">
      <c r="A927" s="26"/>
      <c r="B927" s="26"/>
      <c r="C927" s="26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</row>
    <row r="928" ht="15.75" customHeight="1">
      <c r="A928" s="26"/>
      <c r="B928" s="26"/>
      <c r="C928" s="26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</row>
    <row r="929" ht="15.75" customHeight="1">
      <c r="A929" s="26"/>
      <c r="B929" s="26"/>
      <c r="C929" s="26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</row>
    <row r="930" ht="15.75" customHeight="1">
      <c r="A930" s="26"/>
      <c r="B930" s="26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</row>
    <row r="931" ht="15.75" customHeight="1">
      <c r="A931" s="26"/>
      <c r="B931" s="26"/>
      <c r="C931" s="26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</row>
    <row r="932" ht="15.75" customHeight="1">
      <c r="A932" s="26"/>
      <c r="B932" s="26"/>
      <c r="C932" s="26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</row>
    <row r="933" ht="15.75" customHeight="1">
      <c r="A933" s="26"/>
      <c r="B933" s="26"/>
      <c r="C933" s="26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</row>
    <row r="934" ht="15.75" customHeight="1">
      <c r="A934" s="26"/>
      <c r="B934" s="26"/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</row>
    <row r="935" ht="15.75" customHeight="1">
      <c r="A935" s="26"/>
      <c r="B935" s="26"/>
      <c r="C935" s="26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</row>
    <row r="936" ht="15.75" customHeight="1">
      <c r="A936" s="26"/>
      <c r="B936" s="26"/>
      <c r="C936" s="26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</row>
    <row r="937" ht="15.75" customHeight="1">
      <c r="A937" s="26"/>
      <c r="B937" s="26"/>
      <c r="C937" s="26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</row>
    <row r="938" ht="15.75" customHeight="1">
      <c r="A938" s="26"/>
      <c r="B938" s="26"/>
      <c r="C938" s="26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</row>
    <row r="939" ht="15.75" customHeight="1">
      <c r="A939" s="26"/>
      <c r="B939" s="26"/>
      <c r="C939" s="26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</row>
    <row r="940" ht="15.75" customHeight="1">
      <c r="A940" s="26"/>
      <c r="B940" s="26"/>
      <c r="C940" s="26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</row>
    <row r="941" ht="15.75" customHeight="1">
      <c r="A941" s="26"/>
      <c r="B941" s="26"/>
      <c r="C941" s="26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</row>
    <row r="942" ht="15.75" customHeight="1">
      <c r="A942" s="26"/>
      <c r="B942" s="26"/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</row>
    <row r="943" ht="15.75" customHeight="1">
      <c r="A943" s="26"/>
      <c r="B943" s="26"/>
      <c r="C943" s="26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</row>
    <row r="944" ht="15.75" customHeight="1">
      <c r="A944" s="26"/>
      <c r="B944" s="26"/>
      <c r="C944" s="26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</row>
    <row r="945" ht="15.75" customHeight="1">
      <c r="A945" s="26"/>
      <c r="B945" s="26"/>
      <c r="C945" s="26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</row>
    <row r="946" ht="15.75" customHeight="1">
      <c r="A946" s="26"/>
      <c r="B946" s="26"/>
      <c r="C946" s="26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</row>
    <row r="947" ht="15.75" customHeight="1">
      <c r="A947" s="26"/>
      <c r="B947" s="26"/>
      <c r="C947" s="26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</row>
    <row r="948" ht="15.75" customHeight="1">
      <c r="A948" s="26"/>
      <c r="B948" s="26"/>
      <c r="C948" s="26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</row>
    <row r="949" ht="15.75" customHeight="1">
      <c r="A949" s="26"/>
      <c r="B949" s="26"/>
      <c r="C949" s="26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</row>
    <row r="950" ht="15.75" customHeight="1">
      <c r="A950" s="26"/>
      <c r="B950" s="26"/>
      <c r="C950" s="26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</row>
    <row r="951" ht="15.75" customHeight="1">
      <c r="A951" s="26"/>
      <c r="B951" s="26"/>
      <c r="C951" s="26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</row>
    <row r="952" ht="15.75" customHeight="1">
      <c r="A952" s="26"/>
      <c r="B952" s="26"/>
      <c r="C952" s="26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</row>
    <row r="953" ht="15.75" customHeight="1">
      <c r="A953" s="26"/>
      <c r="B953" s="26"/>
      <c r="C953" s="26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</row>
    <row r="954" ht="15.75" customHeight="1">
      <c r="A954" s="26"/>
      <c r="B954" s="26"/>
      <c r="C954" s="26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</row>
    <row r="955" ht="15.75" customHeight="1">
      <c r="A955" s="26"/>
      <c r="B955" s="26"/>
      <c r="C955" s="26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</row>
    <row r="956" ht="15.75" customHeight="1">
      <c r="A956" s="26"/>
      <c r="B956" s="26"/>
      <c r="C956" s="26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</row>
    <row r="957" ht="15.75" customHeight="1">
      <c r="A957" s="26"/>
      <c r="B957" s="26"/>
      <c r="C957" s="26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</row>
    <row r="958" ht="15.75" customHeight="1">
      <c r="A958" s="26"/>
      <c r="B958" s="26"/>
      <c r="C958" s="26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</row>
    <row r="959" ht="15.75" customHeight="1">
      <c r="A959" s="26"/>
      <c r="B959" s="26"/>
      <c r="C959" s="26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</row>
    <row r="960" ht="15.75" customHeight="1">
      <c r="A960" s="26"/>
      <c r="B960" s="26"/>
      <c r="C960" s="26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</row>
    <row r="961" ht="15.75" customHeight="1">
      <c r="A961" s="26"/>
      <c r="B961" s="26"/>
      <c r="C961" s="26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</row>
    <row r="962" ht="15.75" customHeight="1">
      <c r="A962" s="26"/>
      <c r="B962" s="26"/>
      <c r="C962" s="26"/>
      <c r="D962" s="26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</row>
    <row r="963" ht="15.75" customHeight="1">
      <c r="A963" s="26"/>
      <c r="B963" s="26"/>
      <c r="C963" s="26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</row>
    <row r="964" ht="15.75" customHeight="1">
      <c r="A964" s="26"/>
      <c r="B964" s="26"/>
      <c r="C964" s="26"/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</row>
    <row r="965" ht="15.75" customHeight="1">
      <c r="A965" s="26"/>
      <c r="B965" s="26"/>
      <c r="C965" s="26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</row>
    <row r="966" ht="15.75" customHeight="1">
      <c r="A966" s="26"/>
      <c r="B966" s="26"/>
      <c r="C966" s="26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</row>
    <row r="967" ht="15.75" customHeight="1">
      <c r="A967" s="26"/>
      <c r="B967" s="26"/>
      <c r="C967" s="26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</row>
    <row r="968" ht="15.75" customHeight="1">
      <c r="A968" s="26"/>
      <c r="B968" s="26"/>
      <c r="C968" s="26"/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</row>
    <row r="969" ht="15.75" customHeight="1">
      <c r="A969" s="26"/>
      <c r="B969" s="26"/>
      <c r="C969" s="26"/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</row>
    <row r="970" ht="15.75" customHeight="1">
      <c r="A970" s="26"/>
      <c r="B970" s="26"/>
      <c r="C970" s="26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</row>
    <row r="971" ht="15.75" customHeight="1">
      <c r="A971" s="26"/>
      <c r="B971" s="26"/>
      <c r="C971" s="26"/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</row>
    <row r="972" ht="15.75" customHeight="1">
      <c r="A972" s="26"/>
      <c r="B972" s="26"/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</row>
    <row r="973" ht="15.75" customHeight="1">
      <c r="A973" s="26"/>
      <c r="B973" s="26"/>
      <c r="C973" s="26"/>
      <c r="D973" s="26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</row>
    <row r="974" ht="15.75" customHeight="1">
      <c r="A974" s="26"/>
      <c r="B974" s="26"/>
      <c r="C974" s="26"/>
      <c r="D974" s="26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</row>
    <row r="975" ht="15.75" customHeight="1">
      <c r="A975" s="26"/>
      <c r="B975" s="26"/>
      <c r="C975" s="26"/>
      <c r="D975" s="26"/>
      <c r="E975" s="26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</row>
    <row r="976" ht="15.75" customHeight="1">
      <c r="A976" s="26"/>
      <c r="B976" s="26"/>
      <c r="C976" s="26"/>
      <c r="D976" s="26"/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</row>
    <row r="977" ht="15.75" customHeight="1">
      <c r="A977" s="26"/>
      <c r="B977" s="26"/>
      <c r="C977" s="26"/>
      <c r="D977" s="26"/>
      <c r="E977" s="26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</row>
    <row r="978" ht="15.75" customHeight="1">
      <c r="A978" s="26"/>
      <c r="B978" s="26"/>
      <c r="C978" s="26"/>
      <c r="D978" s="26"/>
      <c r="E978" s="26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</row>
    <row r="979" ht="15.75" customHeight="1">
      <c r="A979" s="26"/>
      <c r="B979" s="26"/>
      <c r="C979" s="26"/>
      <c r="D979" s="26"/>
      <c r="E979" s="26"/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</row>
    <row r="980" ht="15.75" customHeight="1">
      <c r="A980" s="26"/>
      <c r="B980" s="26"/>
      <c r="C980" s="26"/>
      <c r="D980" s="26"/>
      <c r="E980" s="26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</row>
    <row r="981" ht="15.75" customHeight="1">
      <c r="A981" s="26"/>
      <c r="B981" s="26"/>
      <c r="C981" s="26"/>
      <c r="D981" s="26"/>
      <c r="E981" s="26"/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</row>
    <row r="982" ht="15.75" customHeight="1">
      <c r="A982" s="26"/>
      <c r="B982" s="26"/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</row>
    <row r="983" ht="15.75" customHeight="1">
      <c r="A983" s="26"/>
      <c r="B983" s="26"/>
      <c r="C983" s="26"/>
      <c r="D983" s="26"/>
      <c r="E983" s="26"/>
      <c r="F983" s="26"/>
      <c r="G983" s="26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</row>
    <row r="984" ht="15.75" customHeight="1">
      <c r="A984" s="26"/>
      <c r="B984" s="26"/>
      <c r="C984" s="26"/>
      <c r="D984" s="26"/>
      <c r="E984" s="26"/>
      <c r="F984" s="26"/>
      <c r="G984" s="26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</row>
    <row r="985" ht="15.75" customHeight="1">
      <c r="A985" s="26"/>
      <c r="B985" s="26"/>
      <c r="C985" s="26"/>
      <c r="D985" s="26"/>
      <c r="E985" s="26"/>
      <c r="F985" s="26"/>
      <c r="G985" s="26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</row>
    <row r="986" ht="15.75" customHeight="1">
      <c r="A986" s="26"/>
      <c r="B986" s="26"/>
      <c r="C986" s="26"/>
      <c r="D986" s="26"/>
      <c r="E986" s="26"/>
      <c r="F986" s="26"/>
      <c r="G986" s="26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</row>
    <row r="987" ht="15.75" customHeight="1">
      <c r="A987" s="26"/>
      <c r="B987" s="26"/>
      <c r="C987" s="26"/>
      <c r="D987" s="26"/>
      <c r="E987" s="26"/>
      <c r="F987" s="26"/>
      <c r="G987" s="26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</row>
    <row r="988" ht="15.75" customHeight="1">
      <c r="A988" s="26"/>
      <c r="B988" s="26"/>
      <c r="C988" s="26"/>
      <c r="D988" s="26"/>
      <c r="E988" s="26"/>
      <c r="F988" s="26"/>
      <c r="G988" s="26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</row>
    <row r="989" ht="15.75" customHeight="1">
      <c r="A989" s="26"/>
      <c r="B989" s="26"/>
      <c r="C989" s="26"/>
      <c r="D989" s="26"/>
      <c r="E989" s="26"/>
      <c r="F989" s="26"/>
      <c r="G989" s="26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</row>
    <row r="990" ht="15.75" customHeight="1">
      <c r="A990" s="26"/>
      <c r="B990" s="26"/>
      <c r="C990" s="26"/>
      <c r="D990" s="26"/>
      <c r="E990" s="26"/>
      <c r="F990" s="26"/>
      <c r="G990" s="26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6"/>
    </row>
    <row r="991" ht="15.75" customHeight="1">
      <c r="A991" s="26"/>
      <c r="B991" s="26"/>
      <c r="C991" s="26"/>
      <c r="D991" s="26"/>
      <c r="E991" s="26"/>
      <c r="F991" s="26"/>
      <c r="G991" s="26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  <c r="Z991" s="26"/>
    </row>
    <row r="992" ht="15.75" customHeight="1">
      <c r="A992" s="26"/>
      <c r="B992" s="26"/>
      <c r="C992" s="26"/>
      <c r="D992" s="26"/>
      <c r="E992" s="26"/>
      <c r="F992" s="26"/>
      <c r="G992" s="26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6"/>
    </row>
    <row r="993" ht="15.75" customHeight="1">
      <c r="A993" s="26"/>
      <c r="B993" s="26"/>
      <c r="C993" s="26"/>
      <c r="D993" s="26"/>
      <c r="E993" s="26"/>
      <c r="F993" s="26"/>
      <c r="G993" s="26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  <c r="Z993" s="26"/>
    </row>
    <row r="994" ht="15.75" customHeight="1">
      <c r="A994" s="26"/>
      <c r="B994" s="26"/>
      <c r="C994" s="26"/>
      <c r="D994" s="26"/>
      <c r="E994" s="26"/>
      <c r="F994" s="26"/>
      <c r="G994" s="26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6"/>
    </row>
    <row r="995" ht="15.75" customHeight="1">
      <c r="A995" s="26"/>
      <c r="B995" s="26"/>
      <c r="C995" s="26"/>
      <c r="D995" s="26"/>
      <c r="E995" s="26"/>
      <c r="F995" s="26"/>
      <c r="G995" s="26"/>
      <c r="H995" s="26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  <c r="Z995" s="26"/>
    </row>
    <row r="996" ht="15.75" customHeight="1">
      <c r="A996" s="26"/>
      <c r="B996" s="26"/>
      <c r="C996" s="26"/>
      <c r="D996" s="26"/>
      <c r="E996" s="26"/>
      <c r="F996" s="26"/>
      <c r="G996" s="26"/>
      <c r="H996" s="26"/>
      <c r="I996" s="26"/>
      <c r="J996" s="26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  <c r="Z996" s="26"/>
    </row>
    <row r="997" ht="15.75" customHeight="1">
      <c r="A997" s="26"/>
      <c r="B997" s="26"/>
      <c r="C997" s="26"/>
      <c r="D997" s="26"/>
      <c r="E997" s="26"/>
      <c r="F997" s="26"/>
      <c r="G997" s="26"/>
      <c r="H997" s="26"/>
      <c r="I997" s="26"/>
      <c r="J997" s="26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  <c r="Z997" s="26"/>
    </row>
    <row r="998" ht="15.75" customHeight="1">
      <c r="A998" s="26"/>
      <c r="B998" s="26"/>
      <c r="C998" s="26"/>
      <c r="D998" s="26"/>
      <c r="E998" s="26"/>
      <c r="F998" s="26"/>
      <c r="G998" s="26"/>
      <c r="H998" s="26"/>
      <c r="I998" s="26"/>
      <c r="J998" s="26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  <c r="Z998" s="26"/>
    </row>
    <row r="999" ht="15.75" customHeight="1">
      <c r="A999" s="26"/>
      <c r="B999" s="26"/>
      <c r="C999" s="26"/>
      <c r="D999" s="26"/>
      <c r="E999" s="26"/>
      <c r="F999" s="26"/>
      <c r="G999" s="26"/>
      <c r="H999" s="26"/>
      <c r="I999" s="26"/>
      <c r="J999" s="26"/>
      <c r="K999" s="26"/>
      <c r="L999" s="26"/>
      <c r="M999" s="26"/>
      <c r="N999" s="26"/>
      <c r="O999" s="26"/>
      <c r="P999" s="26"/>
      <c r="Q999" s="26"/>
      <c r="R999" s="26"/>
      <c r="S999" s="26"/>
      <c r="T999" s="26"/>
      <c r="U999" s="26"/>
      <c r="V999" s="26"/>
      <c r="W999" s="26"/>
      <c r="X999" s="26"/>
      <c r="Y999" s="26"/>
      <c r="Z999" s="26"/>
    </row>
    <row r="1000" ht="15.75" customHeight="1">
      <c r="A1000" s="26"/>
      <c r="B1000" s="26"/>
      <c r="C1000" s="26"/>
      <c r="D1000" s="26"/>
      <c r="E1000" s="26"/>
      <c r="F1000" s="26"/>
      <c r="G1000" s="26"/>
      <c r="H1000" s="26"/>
      <c r="I1000" s="26"/>
      <c r="J1000" s="26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  <c r="U1000" s="26"/>
      <c r="V1000" s="26"/>
      <c r="W1000" s="26"/>
      <c r="X1000" s="26"/>
      <c r="Y1000" s="26"/>
      <c r="Z1000" s="26"/>
    </row>
  </sheetData>
  <mergeCells count="13">
    <mergeCell ref="A24:F24"/>
    <mergeCell ref="A25:G25"/>
    <mergeCell ref="A26:F26"/>
    <mergeCell ref="A27:F27"/>
    <mergeCell ref="A28:G28"/>
    <mergeCell ref="A29:F29"/>
    <mergeCell ref="A2:F2"/>
    <mergeCell ref="A4:F4"/>
    <mergeCell ref="A6:F6"/>
    <mergeCell ref="A10:F10"/>
    <mergeCell ref="A13:F13"/>
    <mergeCell ref="A23:G23"/>
    <mergeCell ref="A17:F17"/>
  </mergeCells>
  <printOptions/>
  <pageMargins bottom="1.0" footer="0.0" header="0.0" left="0.75" right="0.75" top="1.0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2017-05-28T23:07:05Z</dcterms:created>
  <dc:creator>Cristian Villalobos Gutierrez</dc:creator>
</cp:coreProperties>
</file>