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vuramirez_uc_cl/Documents/Diseño Eléctrico 2023-1/Rúbricas modelo/"/>
    </mc:Choice>
  </mc:AlternateContent>
  <xr:revisionPtr revIDLastSave="16" documentId="11_FA99022733FB0BBDC961FD4503AF9A4ECA3F3DA1" xr6:coauthVersionLast="47" xr6:coauthVersionMax="47" xr10:uidLastSave="{41435279-4C48-4797-B404-3C2C857927B7}"/>
  <bookViews>
    <workbookView xWindow="-26655" yWindow="660" windowWidth="21600" windowHeight="11235" xr2:uid="{00000000-000D-0000-FFFF-FFFF00000000}"/>
  </bookViews>
  <sheets>
    <sheet name="GX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IX1E1OMkXywSkAfnEulliykjYKg=="/>
    </ext>
  </extLst>
</workbook>
</file>

<file path=xl/calcChain.xml><?xml version="1.0" encoding="utf-8"?>
<calcChain xmlns="http://schemas.openxmlformats.org/spreadsheetml/2006/main">
  <c r="G5" i="1" l="1" a="1"/>
  <c r="G5" i="1" s="1"/>
  <c r="G13" i="1" s="1"/>
  <c r="G16" i="1"/>
  <c r="G12" i="1"/>
  <c r="G11" i="1"/>
  <c r="G10" i="1"/>
  <c r="G9" i="1"/>
  <c r="G8" i="1"/>
  <c r="G4" i="1"/>
  <c r="G2" i="1"/>
  <c r="G18" i="1" l="1"/>
  <c r="G23" i="1" s="1"/>
  <c r="G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<sst xmlns="http://schemas.openxmlformats.org/spreadsheetml/2006/main" count="30" uniqueCount="30">
  <si>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Grupo xx (o integrante)</t>
  </si>
  <si>
    <t>Conocimientos</t>
  </si>
  <si>
    <t>]80 - 100] %</t>
  </si>
  <si>
    <t>]60 - 80] %</t>
  </si>
  <si>
    <t>]40 - 60] %</t>
  </si>
  <si>
    <t>]20 - 40] %</t>
  </si>
  <si>
    <t>]0 - 20] %</t>
  </si>
  <si>
    <t>Ponderación del factor conocimiento</t>
  </si>
  <si>
    <t>Se demuestra un conocimiento total del proyecto</t>
  </si>
  <si>
    <t>Número de la presentación</t>
  </si>
  <si>
    <t>Estado de avance absoluto del proyecto</t>
  </si>
  <si>
    <t>Presentación</t>
  </si>
  <si>
    <t>Sobresaliente</t>
  </si>
  <si>
    <t>Bien </t>
  </si>
  <si>
    <t>Adecuado</t>
  </si>
  <si>
    <t>Deficiente</t>
  </si>
  <si>
    <t>Insuficiente o inexistente</t>
  </si>
  <si>
    <t>Presentan un set-up experimental adecuado para mostrar el funcionamiento de los bloques implementados: - Listos para presentar SW HW -Pueden mostrar empiricamente performance de los distintos componentes o bloques -Protoboards ordenadas -Lista la instrumentacion para mostrar funcionamiento</t>
  </si>
  <si>
    <t>Realizan una presentación que explica adecuadamente el trabajo realizado y el estado del proyecto</t>
  </si>
  <si>
    <t>Todos los integrantes del grupo participan activamente en la presentación</t>
  </si>
  <si>
    <t>Utilizan lenguaje técnico y formal adecuado</t>
  </si>
  <si>
    <t>SUBTOTAL</t>
  </si>
  <si>
    <t>Nota Presentación</t>
  </si>
  <si>
    <t>Ponderador Conocimientos</t>
  </si>
  <si>
    <t>NOTA PARCIAL</t>
  </si>
  <si>
    <t>Descuento por atraso (presenta fuera del horario asignado*)</t>
  </si>
  <si>
    <t>Descuento por interrogación o cuaderno</t>
  </si>
  <si>
    <t>NOTA FINAL</t>
  </si>
  <si>
    <t>*El profesor y los ayudantes podrán interrogar separadamente a los integrantes del grupo en caso de que se observe un menor manejo de los conocimientos</t>
  </si>
  <si>
    <t>Avance realizado   (Requerido: Avance 1: 5%, Avance 2: 30%, Avance 3: 60%, Avance 4: 90%)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</si>
</sst>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>
    <font>
      <sz val="12"/>
      <color rgb="FF000000"/>
      <name val="Calibri"/>
      <scheme val="minor"/>
    </font>
    <font>
      <b/>
      <sz val="24"/>
      <color rgb="FF000000"/>
      <name val="Helvetica Neue"/>
    </font>
    <font>
      <sz val="10"/>
      <color theme="1"/>
      <name val="Helvetica Neue"/>
    </font>
    <font>
      <sz val="12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Helvetica Neue"/>
    </font>
    <font>
      <i/>
      <sz val="10"/>
      <color rgb="FF000000"/>
      <name val="Helvetica Neue"/>
    </font>
    <font>
      <sz val="10"/>
      <color rgb="FF000000"/>
      <name val="Helvetica Neue"/>
    </font>
    <font>
      <b/>
      <sz val="10"/>
      <color theme="1"/>
      <name val="Helvetica Neue"/>
    </font>
    <font>
      <b/>
      <sz val="12"/>
      <color rgb="FF00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 applyAlignment="1">
      <alignment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vertical="top" wrapText="1"/>
    </xf>
    <xf numFmtId="9" fontId="5" fillId="3" borderId="6" xfId="0" applyNumberFormat="1" applyFont="1" applyFill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9" fontId="6" fillId="0" borderId="8" xfId="0" applyNumberFormat="1" applyFont="1" applyBorder="1" applyAlignment="1">
      <alignment horizontal="right" vertical="top" wrapText="1"/>
    </xf>
    <xf numFmtId="0" fontId="2" fillId="0" borderId="8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3" fontId="7" fillId="0" borderId="8" xfId="0" applyNumberFormat="1" applyFont="1" applyBorder="1" applyAlignment="1">
      <alignment horizontal="right" vertical="top" wrapText="1"/>
    </xf>
    <xf numFmtId="3" fontId="7" fillId="0" borderId="8" xfId="0" applyNumberFormat="1" applyFont="1" applyBorder="1" applyAlignment="1">
      <alignment vertical="top" wrapText="1"/>
    </xf>
    <xf numFmtId="9" fontId="7" fillId="4" borderId="6" xfId="0" applyNumberFormat="1" applyFont="1" applyFill="1" applyBorder="1" applyAlignment="1">
      <alignment horizontal="right" vertical="top" wrapText="1"/>
    </xf>
    <xf numFmtId="9" fontId="8" fillId="3" borderId="6" xfId="0" applyNumberFormat="1" applyFont="1" applyFill="1" applyBorder="1" applyAlignment="1">
      <alignment vertical="top" wrapText="1"/>
    </xf>
    <xf numFmtId="3" fontId="5" fillId="3" borderId="6" xfId="0" applyNumberFormat="1" applyFont="1" applyFill="1" applyBorder="1" applyAlignment="1">
      <alignment horizontal="right" vertical="top" wrapText="1"/>
    </xf>
    <xf numFmtId="0" fontId="7" fillId="0" borderId="7" xfId="0" applyFont="1" applyBorder="1" applyAlignment="1">
      <alignment vertical="top" wrapText="1"/>
    </xf>
    <xf numFmtId="9" fontId="8" fillId="0" borderId="9" xfId="0" applyNumberFormat="1" applyFont="1" applyBorder="1" applyAlignment="1">
      <alignment vertical="top" wrapText="1"/>
    </xf>
    <xf numFmtId="9" fontId="8" fillId="0" borderId="8" xfId="0" applyNumberFormat="1" applyFont="1" applyBorder="1" applyAlignment="1">
      <alignment vertical="top" wrapText="1"/>
    </xf>
    <xf numFmtId="3" fontId="5" fillId="0" borderId="8" xfId="0" applyNumberFormat="1" applyFont="1" applyBorder="1" applyAlignment="1">
      <alignment horizontal="right" vertical="top" wrapText="1"/>
    </xf>
    <xf numFmtId="1" fontId="5" fillId="3" borderId="6" xfId="0" applyNumberFormat="1" applyFont="1" applyFill="1" applyBorder="1" applyAlignment="1">
      <alignment vertical="top" wrapText="1"/>
    </xf>
    <xf numFmtId="0" fontId="5" fillId="3" borderId="6" xfId="0" applyFont="1" applyFill="1" applyBorder="1" applyAlignment="1">
      <alignment horizontal="right" vertical="top" wrapText="1"/>
    </xf>
    <xf numFmtId="0" fontId="7" fillId="0" borderId="8" xfId="0" applyFont="1" applyBorder="1" applyAlignment="1">
      <alignment horizontal="right" vertical="top" wrapText="1"/>
    </xf>
    <xf numFmtId="1" fontId="2" fillId="0" borderId="8" xfId="0" applyNumberFormat="1" applyFont="1" applyBorder="1" applyAlignment="1">
      <alignment vertical="top" wrapText="1"/>
    </xf>
    <xf numFmtId="0" fontId="7" fillId="4" borderId="6" xfId="0" applyFont="1" applyFill="1" applyBorder="1" applyAlignment="1">
      <alignment horizontal="right" vertical="top" wrapText="1"/>
    </xf>
    <xf numFmtId="1" fontId="7" fillId="0" borderId="8" xfId="0" applyNumberFormat="1" applyFont="1" applyBorder="1" applyAlignment="1">
      <alignment horizontal="right" vertical="top" wrapText="1"/>
    </xf>
    <xf numFmtId="1" fontId="7" fillId="0" borderId="7" xfId="0" applyNumberFormat="1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horizontal="right" vertical="top" wrapText="1"/>
    </xf>
    <xf numFmtId="0" fontId="2" fillId="0" borderId="13" xfId="0" applyFont="1" applyBorder="1" applyAlignment="1">
      <alignment vertical="top" wrapText="1"/>
    </xf>
    <xf numFmtId="1" fontId="5" fillId="0" borderId="14" xfId="0" applyNumberFormat="1" applyFont="1" applyBorder="1" applyAlignment="1">
      <alignment horizontal="left" vertical="top" wrapText="1"/>
    </xf>
    <xf numFmtId="1" fontId="2" fillId="0" borderId="15" xfId="0" applyNumberFormat="1" applyFont="1" applyBorder="1" applyAlignment="1">
      <alignment vertical="top" wrapText="1"/>
    </xf>
    <xf numFmtId="1" fontId="2" fillId="0" borderId="16" xfId="0" applyNumberFormat="1" applyFont="1" applyBorder="1" applyAlignment="1">
      <alignment vertical="top" wrapText="1"/>
    </xf>
    <xf numFmtId="1" fontId="7" fillId="4" borderId="6" xfId="0" applyNumberFormat="1" applyFont="1" applyFill="1" applyBorder="1" applyAlignment="1">
      <alignment horizontal="right" vertical="top" wrapText="1"/>
    </xf>
    <xf numFmtId="0" fontId="2" fillId="0" borderId="17" xfId="0" applyFont="1" applyBorder="1" applyAlignment="1">
      <alignment vertical="top" wrapText="1"/>
    </xf>
    <xf numFmtId="1" fontId="2" fillId="0" borderId="9" xfId="0" applyNumberFormat="1" applyFont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5" fillId="0" borderId="17" xfId="0" applyFont="1" applyBorder="1" applyAlignment="1">
      <alignment horizontal="left" vertical="top" wrapText="1"/>
    </xf>
    <xf numFmtId="1" fontId="5" fillId="0" borderId="17" xfId="0" applyNumberFormat="1" applyFont="1" applyBorder="1" applyAlignment="1">
      <alignment horizontal="left" vertical="top" wrapText="1"/>
    </xf>
    <xf numFmtId="1" fontId="2" fillId="0" borderId="13" xfId="0" applyNumberFormat="1" applyFont="1" applyBorder="1" applyAlignment="1">
      <alignment vertical="top" wrapText="1"/>
    </xf>
    <xf numFmtId="9" fontId="7" fillId="4" borderId="18" xfId="0" applyNumberFormat="1" applyFont="1" applyFill="1" applyBorder="1" applyAlignment="1">
      <alignment horizontal="right" vertical="top" wrapText="1"/>
    </xf>
    <xf numFmtId="0" fontId="2" fillId="0" borderId="14" xfId="0" applyFont="1" applyBorder="1" applyAlignment="1">
      <alignment vertical="top" wrapText="1"/>
    </xf>
    <xf numFmtId="0" fontId="2" fillId="4" borderId="19" xfId="0" applyFont="1" applyFill="1" applyBorder="1" applyAlignment="1">
      <alignment vertical="top" wrapText="1"/>
    </xf>
    <xf numFmtId="164" fontId="7" fillId="4" borderId="6" xfId="0" applyNumberFormat="1" applyFont="1" applyFill="1" applyBorder="1" applyAlignment="1">
      <alignment horizontal="right" vertical="top" wrapText="1"/>
    </xf>
    <xf numFmtId="0" fontId="7" fillId="0" borderId="0" xfId="0" applyFont="1" applyAlignment="1">
      <alignment vertical="top" wrapText="1"/>
    </xf>
    <xf numFmtId="0" fontId="7" fillId="4" borderId="20" xfId="0" applyFont="1" applyFill="1" applyBorder="1" applyAlignment="1">
      <alignment horizontal="right" vertical="top" wrapText="1"/>
    </xf>
    <xf numFmtId="164" fontId="5" fillId="2" borderId="20" xfId="0" applyNumberFormat="1" applyFont="1" applyFill="1" applyBorder="1" applyAlignment="1">
      <alignment horizontal="right"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2" borderId="14" xfId="0" applyFont="1" applyFill="1" applyBorder="1" applyAlignment="1">
      <alignment horizontal="left" vertical="top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4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3" fontId="2" fillId="4" borderId="10" xfId="0" applyNumberFormat="1" applyFont="1" applyFill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3" fillId="0" borderId="9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A21" workbookViewId="0">
      <selection sqref="A1:G24"/>
    </sheetView>
  </sheetViews>
  <sheetFormatPr baseColWidth="10" defaultColWidth="11.19921875" defaultRowHeight="15" customHeight="1"/>
  <cols>
    <col min="1" max="1" width="49.09765625" customWidth="1"/>
    <col min="2" max="2" width="10.3984375" customWidth="1"/>
    <col min="3" max="5" width="8.3984375" customWidth="1"/>
    <col min="6" max="6" width="10.3984375" customWidth="1"/>
    <col min="7" max="7" width="13.796875" customWidth="1"/>
    <col min="8" max="8" width="34.69921875" customWidth="1"/>
    <col min="9" max="9" width="10.3984375" customWidth="1"/>
    <col min="10" max="12" width="8.3984375" customWidth="1"/>
    <col min="13" max="13" width="10.3984375" customWidth="1"/>
    <col min="14" max="14" width="13.796875" customWidth="1"/>
    <col min="15" max="15" width="34.69921875" customWidth="1"/>
    <col min="16" max="16" width="10.3984375" customWidth="1"/>
    <col min="17" max="19" width="8.3984375" customWidth="1"/>
    <col min="20" max="20" width="10.3984375" customWidth="1"/>
    <col min="21" max="21" width="13.796875" customWidth="1"/>
    <col min="22" max="22" width="34.69921875" customWidth="1"/>
    <col min="23" max="26" width="9.3984375" customWidth="1"/>
  </cols>
  <sheetData>
    <row r="1" spans="1:26" ht="37.5" customHeight="1">
      <c r="A1" s="1" t="s">
        <v>0</v>
      </c>
      <c r="B1" s="53"/>
      <c r="C1" s="54"/>
      <c r="D1" s="54"/>
      <c r="E1" s="54"/>
      <c r="F1" s="54"/>
      <c r="G1" s="55"/>
      <c r="Y1" s="2"/>
      <c r="Z1" s="2"/>
    </row>
    <row r="2" spans="1:26" ht="27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>
        <f>G4</f>
        <v>1</v>
      </c>
      <c r="Y2" s="2"/>
      <c r="Z2" s="2"/>
    </row>
    <row r="3" spans="1:26" ht="18.75" customHeight="1">
      <c r="A3" s="6" t="s">
        <v>7</v>
      </c>
      <c r="B3" s="7">
        <v>0</v>
      </c>
      <c r="C3" s="7">
        <v>0.1</v>
      </c>
      <c r="D3" s="7">
        <v>0.4</v>
      </c>
      <c r="E3" s="7">
        <v>0.7</v>
      </c>
      <c r="F3" s="7">
        <v>0.8</v>
      </c>
      <c r="G3" s="8"/>
      <c r="Y3" s="2"/>
      <c r="Z3" s="2"/>
    </row>
    <row r="4" spans="1:26" ht="27.75" customHeight="1">
      <c r="A4" s="9" t="s">
        <v>8</v>
      </c>
      <c r="B4" s="10">
        <v>1</v>
      </c>
      <c r="C4" s="11"/>
      <c r="D4" s="11"/>
      <c r="E4" s="11"/>
      <c r="F4" s="11"/>
      <c r="G4" s="12">
        <f>(B4+0.9*C4+0.6*D4+0.3*E4+0.2*F4)</f>
        <v>1</v>
      </c>
      <c r="Y4" s="2"/>
      <c r="Z4" s="2"/>
    </row>
    <row r="5" spans="1:26" ht="28.5" customHeight="1">
      <c r="A5" s="3" t="s">
        <v>29</v>
      </c>
      <c r="B5" s="13"/>
      <c r="C5" s="13"/>
      <c r="D5" s="13"/>
      <c r="E5" s="13"/>
      <c r="F5" s="13"/>
      <c r="G5" s="14" cm="1">
        <f t="array" ref="G5">_xlfn.IFS(G6=1,MIN(70,70*G7/0.05),G6=2, MIN(70,70*MAX(0,(G7-0.05)/0.25)), G6=3, MIN(70,70*MAX(0,(G7-0.3)/0.3)), G6=4, MIN(70,70*MAX(0,(G7-0.6)/0.3)) )</f>
        <v>70</v>
      </c>
      <c r="Y5" s="2"/>
      <c r="Z5" s="2"/>
    </row>
    <row r="6" spans="1:26" ht="28.5" customHeight="1">
      <c r="A6" s="15" t="s">
        <v>9</v>
      </c>
      <c r="B6" s="16"/>
      <c r="C6" s="16"/>
      <c r="D6" s="16"/>
      <c r="E6" s="16"/>
      <c r="F6" s="17"/>
      <c r="G6" s="18">
        <v>1</v>
      </c>
      <c r="Y6" s="2"/>
      <c r="Z6" s="2"/>
    </row>
    <row r="7" spans="1:26" ht="39.75" customHeight="1">
      <c r="A7" s="15" t="s">
        <v>10</v>
      </c>
      <c r="B7" s="56"/>
      <c r="C7" s="54"/>
      <c r="D7" s="54"/>
      <c r="E7" s="54"/>
      <c r="F7" s="57"/>
      <c r="G7" s="12">
        <v>0.05</v>
      </c>
    </row>
    <row r="8" spans="1:26" ht="30" customHeight="1">
      <c r="A8" s="3" t="s">
        <v>11</v>
      </c>
      <c r="B8" s="4" t="s">
        <v>12</v>
      </c>
      <c r="C8" s="19" t="s">
        <v>13</v>
      </c>
      <c r="D8" s="19" t="s">
        <v>14</v>
      </c>
      <c r="E8" s="19" t="s">
        <v>15</v>
      </c>
      <c r="F8" s="19" t="s">
        <v>16</v>
      </c>
      <c r="G8" s="20">
        <f>(G9+G10+G11+G12)*30/16</f>
        <v>30</v>
      </c>
      <c r="Y8" s="2"/>
      <c r="Z8" s="2"/>
    </row>
    <row r="9" spans="1:26" ht="82.5" customHeight="1">
      <c r="A9" s="15" t="s">
        <v>17</v>
      </c>
      <c r="B9" s="21">
        <v>1</v>
      </c>
      <c r="C9" s="22"/>
      <c r="D9" s="22"/>
      <c r="E9" s="22"/>
      <c r="F9" s="22"/>
      <c r="G9" s="23">
        <f t="shared" ref="G9:G10" si="0">(B9*4+C9*3+D9*2+E9*1+0*F9)*5/4</f>
        <v>5</v>
      </c>
      <c r="Y9" s="2"/>
      <c r="Z9" s="2"/>
    </row>
    <row r="10" spans="1:26" ht="27.75" customHeight="1">
      <c r="A10" s="15" t="s">
        <v>18</v>
      </c>
      <c r="B10" s="24">
        <v>1</v>
      </c>
      <c r="C10" s="22"/>
      <c r="D10" s="22"/>
      <c r="E10" s="22"/>
      <c r="F10" s="22"/>
      <c r="G10" s="23">
        <f t="shared" si="0"/>
        <v>5</v>
      </c>
      <c r="Y10" s="2"/>
      <c r="Z10" s="2"/>
    </row>
    <row r="11" spans="1:26" ht="27.75" customHeight="1">
      <c r="A11" s="25" t="s">
        <v>19</v>
      </c>
      <c r="B11" s="24">
        <v>1</v>
      </c>
      <c r="C11" s="22"/>
      <c r="D11" s="22"/>
      <c r="E11" s="22"/>
      <c r="F11" s="22"/>
      <c r="G11" s="23">
        <f t="shared" ref="G11:G12" si="1">(B11*4+C11*3+D11*2+E11*1+0*F11)*3/4</f>
        <v>3</v>
      </c>
      <c r="Y11" s="2"/>
      <c r="Z11" s="2"/>
    </row>
    <row r="12" spans="1:26" ht="27.75" customHeight="1">
      <c r="A12" s="26" t="s">
        <v>20</v>
      </c>
      <c r="B12" s="27">
        <v>1</v>
      </c>
      <c r="C12" s="28"/>
      <c r="D12" s="28"/>
      <c r="E12" s="28"/>
      <c r="F12" s="28"/>
      <c r="G12" s="23">
        <f t="shared" si="1"/>
        <v>3</v>
      </c>
      <c r="Y12" s="2"/>
      <c r="Z12" s="2"/>
    </row>
    <row r="13" spans="1:26" ht="27.75" customHeight="1">
      <c r="A13" s="29" t="s">
        <v>21</v>
      </c>
      <c r="B13" s="30"/>
      <c r="C13" s="30"/>
      <c r="D13" s="30"/>
      <c r="E13" s="30"/>
      <c r="F13" s="31"/>
      <c r="G13" s="32">
        <f>SUM(G5,G8)</f>
        <v>100</v>
      </c>
      <c r="Y13" s="2"/>
      <c r="Z13" s="2"/>
    </row>
    <row r="14" spans="1:26" ht="27.75" customHeight="1">
      <c r="A14" s="33"/>
      <c r="B14" s="34"/>
      <c r="C14" s="34"/>
      <c r="D14" s="34"/>
      <c r="E14" s="34"/>
      <c r="F14" s="22"/>
      <c r="G14" s="35"/>
      <c r="Y14" s="2"/>
      <c r="Z14" s="2"/>
    </row>
    <row r="15" spans="1:26" ht="27.75" customHeight="1">
      <c r="A15" s="36" t="s">
        <v>22</v>
      </c>
      <c r="B15" s="34"/>
      <c r="C15" s="34"/>
      <c r="D15" s="34"/>
      <c r="E15" s="34"/>
      <c r="F15" s="22"/>
      <c r="G15" s="23">
        <f>ROUND(G13/100*6+1,1)</f>
        <v>7</v>
      </c>
      <c r="Y15" s="2"/>
      <c r="Z15" s="2"/>
    </row>
    <row r="16" spans="1:26" ht="27.75" customHeight="1">
      <c r="A16" s="37" t="s">
        <v>23</v>
      </c>
      <c r="B16" s="34"/>
      <c r="C16" s="34"/>
      <c r="D16" s="34"/>
      <c r="E16" s="34"/>
      <c r="F16" s="38"/>
      <c r="G16" s="39">
        <f>G4</f>
        <v>1</v>
      </c>
      <c r="Y16" s="2"/>
      <c r="Z16" s="2"/>
    </row>
    <row r="17" spans="1:26" ht="27.75" customHeight="1">
      <c r="A17" s="40"/>
      <c r="B17" s="30"/>
      <c r="C17" s="30"/>
      <c r="D17" s="30"/>
      <c r="E17" s="30"/>
      <c r="F17" s="30"/>
      <c r="G17" s="41"/>
      <c r="Y17" s="2"/>
      <c r="Z17" s="2"/>
    </row>
    <row r="18" spans="1:26" ht="30.75" customHeight="1">
      <c r="A18" s="36" t="s">
        <v>24</v>
      </c>
      <c r="B18" s="34"/>
      <c r="C18" s="34"/>
      <c r="D18" s="34"/>
      <c r="E18" s="34"/>
      <c r="F18" s="22"/>
      <c r="G18" s="42">
        <f>ROUND(G13/100*6*G16+1,1)</f>
        <v>7</v>
      </c>
      <c r="Y18" s="2"/>
      <c r="Z18" s="2"/>
    </row>
    <row r="19" spans="1:26" ht="28.5" customHeight="1">
      <c r="A19" s="46"/>
      <c r="B19" s="47"/>
      <c r="C19" s="47"/>
      <c r="D19" s="47"/>
      <c r="E19" s="47"/>
      <c r="F19" s="47"/>
      <c r="G19" s="47"/>
      <c r="Y19" s="2"/>
      <c r="Z19" s="2"/>
    </row>
    <row r="20" spans="1:26" ht="31.5" customHeight="1">
      <c r="A20" s="58" t="s">
        <v>25</v>
      </c>
      <c r="B20" s="49"/>
      <c r="C20" s="49"/>
      <c r="D20" s="49"/>
      <c r="E20" s="49"/>
      <c r="F20" s="50"/>
      <c r="G20" s="44">
        <v>0</v>
      </c>
      <c r="Y20" s="2"/>
      <c r="Z20" s="2"/>
    </row>
    <row r="21" spans="1:26" ht="30.75" customHeight="1">
      <c r="A21" s="59" t="s">
        <v>26</v>
      </c>
      <c r="B21" s="60"/>
      <c r="C21" s="60"/>
      <c r="D21" s="60"/>
      <c r="E21" s="60"/>
      <c r="F21" s="61"/>
      <c r="G21" s="23">
        <v>0</v>
      </c>
      <c r="Y21" s="2"/>
      <c r="Z21" s="2"/>
    </row>
    <row r="22" spans="1:26" ht="27.75" customHeight="1">
      <c r="A22" s="46"/>
      <c r="B22" s="47"/>
      <c r="C22" s="47"/>
      <c r="D22" s="47"/>
      <c r="E22" s="47"/>
      <c r="F22" s="47"/>
      <c r="G22" s="47"/>
      <c r="Y22" s="2"/>
      <c r="Z22" s="2"/>
    </row>
    <row r="23" spans="1:26" ht="31.5" customHeight="1">
      <c r="A23" s="48" t="s">
        <v>27</v>
      </c>
      <c r="B23" s="49"/>
      <c r="C23" s="49"/>
      <c r="D23" s="49"/>
      <c r="E23" s="49"/>
      <c r="F23" s="50"/>
      <c r="G23" s="45">
        <f>G18-0.5*G20-0.5*G21</f>
        <v>7</v>
      </c>
      <c r="Y23" s="2"/>
      <c r="Z23" s="2"/>
    </row>
    <row r="24" spans="1:26" ht="45" customHeight="1">
      <c r="A24" s="51" t="s">
        <v>28</v>
      </c>
      <c r="B24" s="52"/>
      <c r="C24" s="52"/>
      <c r="D24" s="52"/>
      <c r="E24" s="52"/>
      <c r="F24" s="52"/>
      <c r="G24" s="52"/>
      <c r="Y24" s="2"/>
      <c r="Z24" s="2"/>
    </row>
    <row r="25" spans="1:26" ht="15.75" customHeight="1">
      <c r="A25" s="43"/>
      <c r="B25" s="43"/>
      <c r="C25" s="43"/>
      <c r="D25" s="43"/>
      <c r="E25" s="43"/>
      <c r="F25" s="43"/>
      <c r="G25" s="43"/>
      <c r="Y25" s="2"/>
      <c r="Z25" s="2"/>
    </row>
    <row r="26" spans="1:26" ht="15.75" customHeight="1">
      <c r="A26" s="43"/>
      <c r="B26" s="43"/>
      <c r="C26" s="43"/>
      <c r="D26" s="43"/>
      <c r="E26" s="43"/>
      <c r="F26" s="43"/>
      <c r="G26" s="43"/>
      <c r="Y26" s="2"/>
      <c r="Z26" s="2"/>
    </row>
    <row r="27" spans="1:26" ht="15.75" customHeight="1">
      <c r="A27" s="43"/>
      <c r="B27" s="43"/>
      <c r="C27" s="43"/>
      <c r="D27" s="43"/>
      <c r="E27" s="43"/>
      <c r="F27" s="43"/>
      <c r="G27" s="43"/>
      <c r="Y27" s="2"/>
      <c r="Z27" s="2"/>
    </row>
    <row r="28" spans="1:26" ht="15.75" customHeight="1">
      <c r="A28" s="43"/>
      <c r="B28" s="43"/>
      <c r="C28" s="43"/>
      <c r="D28" s="43"/>
      <c r="E28" s="43"/>
      <c r="F28" s="43"/>
      <c r="G28" s="43"/>
      <c r="Y28" s="2"/>
      <c r="Z28" s="2"/>
    </row>
    <row r="29" spans="1:26" ht="15.75" customHeight="1">
      <c r="A29" s="43"/>
      <c r="B29" s="43"/>
      <c r="C29" s="43"/>
      <c r="D29" s="43"/>
      <c r="E29" s="43"/>
      <c r="F29" s="43"/>
      <c r="G29" s="43"/>
      <c r="Y29" s="2"/>
      <c r="Z29" s="2"/>
    </row>
    <row r="30" spans="1:26" ht="15.75" customHeight="1">
      <c r="A30" s="43"/>
      <c r="B30" s="43"/>
      <c r="C30" s="43"/>
      <c r="D30" s="43"/>
      <c r="E30" s="43"/>
      <c r="F30" s="43"/>
      <c r="G30" s="43"/>
      <c r="Y30" s="2"/>
      <c r="Z30" s="2"/>
    </row>
    <row r="31" spans="1:26" ht="15.75" customHeight="1">
      <c r="A31" s="43"/>
      <c r="B31" s="43"/>
      <c r="C31" s="43"/>
      <c r="D31" s="43"/>
      <c r="E31" s="43"/>
      <c r="F31" s="43"/>
      <c r="G31" s="43"/>
      <c r="Y31" s="2"/>
      <c r="Z31" s="2"/>
    </row>
    <row r="32" spans="1:26" ht="15.75" customHeight="1">
      <c r="A32" s="43"/>
      <c r="B32" s="43"/>
      <c r="C32" s="43"/>
      <c r="D32" s="43"/>
      <c r="E32" s="43"/>
      <c r="F32" s="43"/>
      <c r="G32" s="43"/>
      <c r="Y32" s="2"/>
      <c r="Z32" s="2"/>
    </row>
    <row r="33" spans="1:26" ht="15.75" customHeight="1">
      <c r="A33" s="43"/>
      <c r="B33" s="43"/>
      <c r="C33" s="43"/>
      <c r="D33" s="43"/>
      <c r="E33" s="43"/>
      <c r="F33" s="43"/>
      <c r="G33" s="43"/>
      <c r="Y33" s="2"/>
      <c r="Z33" s="2"/>
    </row>
    <row r="34" spans="1:26" ht="15.75" customHeight="1">
      <c r="A34" s="43"/>
      <c r="B34" s="43"/>
      <c r="C34" s="43"/>
      <c r="D34" s="43"/>
      <c r="E34" s="43"/>
      <c r="F34" s="43"/>
      <c r="G34" s="43"/>
      <c r="Y34" s="2"/>
      <c r="Z34" s="2"/>
    </row>
    <row r="35" spans="1:26" ht="15.75" customHeight="1">
      <c r="A35" s="43"/>
      <c r="B35" s="43"/>
      <c r="C35" s="43"/>
      <c r="D35" s="43"/>
      <c r="E35" s="43"/>
      <c r="F35" s="43"/>
      <c r="G35" s="43"/>
      <c r="Y35" s="2"/>
      <c r="Z35" s="2"/>
    </row>
    <row r="36" spans="1:26" ht="15.75" customHeight="1">
      <c r="A36" s="43"/>
      <c r="B36" s="43"/>
      <c r="C36" s="43"/>
      <c r="D36" s="43"/>
      <c r="E36" s="43"/>
      <c r="F36" s="43"/>
      <c r="G36" s="43"/>
      <c r="Y36" s="2"/>
      <c r="Z36" s="2"/>
    </row>
    <row r="37" spans="1:26" ht="15.75" customHeight="1">
      <c r="A37" s="43"/>
      <c r="B37" s="43"/>
      <c r="C37" s="43"/>
      <c r="D37" s="43"/>
      <c r="E37" s="43"/>
      <c r="F37" s="43"/>
      <c r="G37" s="43"/>
      <c r="Y37" s="2"/>
      <c r="Z37" s="2"/>
    </row>
    <row r="38" spans="1:26" ht="15.75" customHeight="1">
      <c r="A38" s="43"/>
      <c r="B38" s="43"/>
      <c r="C38" s="43"/>
      <c r="D38" s="43"/>
      <c r="E38" s="43"/>
      <c r="F38" s="43"/>
      <c r="G38" s="43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Y224" s="2"/>
      <c r="Z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22:G22"/>
    <mergeCell ref="A23:F23"/>
    <mergeCell ref="A24:G24"/>
    <mergeCell ref="B1:G1"/>
    <mergeCell ref="B7:F7"/>
    <mergeCell ref="A19:G19"/>
    <mergeCell ref="A20:F20"/>
    <mergeCell ref="A21:F21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OCM</dc:creator>
  <cp:lastModifiedBy>torvicmanuel@gmail.com</cp:lastModifiedBy>
  <dcterms:created xsi:type="dcterms:W3CDTF">2018-09-12T15:58:50Z</dcterms:created>
  <dcterms:modified xsi:type="dcterms:W3CDTF">2023-04-06T17:15:39Z</dcterms:modified>
</cp:coreProperties>
</file>